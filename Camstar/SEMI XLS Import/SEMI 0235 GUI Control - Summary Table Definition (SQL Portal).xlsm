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24226"/>
  <mc:AlternateContent xmlns:mc="http://schemas.openxmlformats.org/markup-compatibility/2006">
    <mc:Choice Requires="x15">
      <x15ac:absPath xmlns:x15ac="http://schemas.microsoft.com/office/spreadsheetml/2010/11/ac" url="C:\Development\Dev\CIS\SCS\Main\Src\Excel Files\"/>
    </mc:Choice>
  </mc:AlternateContent>
  <xr:revisionPtr revIDLastSave="0" documentId="13_ncr:1_{F0A07E13-6955-411C-A692-2436D283A4DC}" xr6:coauthVersionLast="47" xr6:coauthVersionMax="47" xr10:uidLastSave="{00000000-0000-0000-0000-000000000000}"/>
  <bookViews>
    <workbookView xWindow="-120" yWindow="-120" windowWidth="24060" windowHeight="13770" tabRatio="916" activeTab="1" xr2:uid="{00000000-000D-0000-FFFF-FFFF00000000}"/>
  </bookViews>
  <sheets>
    <sheet name="Connect" sheetId="11" r:id="rId1"/>
    <sheet name="SummaryTableDef" sheetId="22" r:id="rId2"/>
  </sheets>
  <definedNames>
    <definedName name="BooleanValues">Connect!$B$20:$B$21</definedName>
    <definedName name="DataTypeValues">Connect!$D$14:$D$21</definedName>
    <definedName name="ExecuteValues">Connect!$B$14:$B$19</definedName>
    <definedName name="QueryTypeValues">Connect!$C$14:$C$16</definedName>
  </definedNames>
  <calcPr calcId="181029"/>
</workbook>
</file>

<file path=xl/sharedStrings.xml><?xml version="1.0" encoding="utf-8"?>
<sst xmlns="http://schemas.openxmlformats.org/spreadsheetml/2006/main" count="152" uniqueCount="108">
  <si>
    <t>Name</t>
  </si>
  <si>
    <t>Description</t>
  </si>
  <si>
    <t>Completion Message</t>
  </si>
  <si>
    <t>Connection Parameters</t>
  </si>
  <si>
    <t>Host:</t>
  </si>
  <si>
    <t>Port:</t>
  </si>
  <si>
    <t>Username:</t>
  </si>
  <si>
    <t>Password:</t>
  </si>
  <si>
    <t>Execute</t>
  </si>
  <si>
    <t>true</t>
  </si>
  <si>
    <t>false</t>
  </si>
  <si>
    <t>Defaults</t>
  </si>
  <si>
    <t>Drop-Down Lists:</t>
  </si>
  <si>
    <t>INSERT</t>
  </si>
  <si>
    <t>UPDATE</t>
  </si>
  <si>
    <t>INSERT/UPDATE</t>
  </si>
  <si>
    <t>DELETE</t>
  </si>
  <si>
    <t>IGNORE</t>
  </si>
  <si>
    <t>DELETE/INSERT</t>
  </si>
  <si>
    <t>Objects:</t>
  </si>
  <si>
    <t>Valid values for Field Type: NDO, NDOLIST, RDO, RDOLIST, LIST, SUBENTITYLIST, DATE, -</t>
  </si>
  <si>
    <t>Comments can be entered into the Column Header at the next line within the same cell (i.e. by putting a &lt;ENTER&gt; after the format)</t>
  </si>
  <si>
    <t>Revision Notes:</t>
  </si>
  <si>
    <t>Version</t>
  </si>
  <si>
    <t>Date</t>
  </si>
  <si>
    <t>Format: &lt;Field Type&gt; &lt;Sub Entity List&gt; &lt;Default Value&gt;</t>
  </si>
  <si>
    <t>Use "-" if an ealier parameter is not required. E.g. - Details</t>
  </si>
  <si>
    <t>Column Header Description</t>
  </si>
  <si>
    <t>Comments</t>
  </si>
  <si>
    <t>1</t>
  </si>
  <si>
    <t>Integer</t>
  </si>
  <si>
    <t>2</t>
  </si>
  <si>
    <t>Float</t>
  </si>
  <si>
    <t>4</t>
  </si>
  <si>
    <t>String</t>
  </si>
  <si>
    <t>5</t>
  </si>
  <si>
    <t>Object</t>
  </si>
  <si>
    <t>6</t>
  </si>
  <si>
    <t>TimeStamp</t>
  </si>
  <si>
    <t>7</t>
  </si>
  <si>
    <t>Boolean</t>
  </si>
  <si>
    <t>9</t>
  </si>
  <si>
    <t>Decimal</t>
  </si>
  <si>
    <t>Data Type</t>
  </si>
  <si>
    <t>3</t>
  </si>
  <si>
    <t>Fixed</t>
  </si>
  <si>
    <t>Copyright 2019 Siemens</t>
  </si>
  <si>
    <t>List of all active Containers.  Can be used for WIP and Inventory reports</t>
  </si>
  <si>
    <t>Select
 c.ContainerId
 ,c.containername
 ,ResourceName
 ,CASE c.Status WHEN 0 THEN 'DELETED' WHEN 1 THEN 'ACTIVE' WHEN 2 THEN 'TERMINATED' WHEN 3 THEN 'INTRANSIT' WHEN 4 THEN 'ISSUED' WHEN 5 THEN 'SHIPPED' ELSE 'UNDEFINED' END "LOTSTATUS"
 ,c.ObjectType as containerObjectType
,containerlevel.containerlevelname
,c.Ownerid
,owner.OwnerName
,PriorityCode.PriorityCodeName
,c.ProductId
,pb.ProductName
,p.ProductRevision
,p.ObjectCategory as ProductObjectCategory
,p.ObjectType as ProductObjectType
,pt.ProductTypeName
,wc.workcentername
,qty  
,c.uomid 
,qty2 
,c.uom2id  
,uom.UOMName as UOM
,uom2.UOMName as UOM2
,c.MoveInQty
,c.MoveInQty2
,c.EquipmentCount
,wfb.WorkflowName
,wf.WorkflowRevision
,wfs.WorkflowStepName
,wfs.Sequence as WorkflowStepSequence
,cs.specid
,sb.SpecName
,s.SpecRevision
,s.ObjectCategory as SpecObjectCategory
,s.ObjectType as SpecObjectType
,psb.ProcessSpecName
,ps.ProcessSpecRevision
,c.ProcessSpecId 
,cs.factoryid 
,o.operationId
,o.OperationName
,wc.workcenterid
, wfb2.workflowname as LotPreviousWorkflow
, sb2.SpecName as LotPreviousSpec
, s2.objectcategory  as LotPreviousSpec_ObjectCategory
, s2.objecttype  as LotPreviousSpec_ObjectType
,cs.resourceId 
,cs.locationid   
,c.holdreasonid
, c.currentholdcount
, c.OnHoldDate
, hr.holdreasonname
, hl.holdlocationname
, c.holdlocationduration *60  HoldlocDurCurrentStepInMins
, c.holdlocationtotalduration * 60  HoldlocDurAllStepsInMins
,cs.inprocess
,cs.inrework 
,c.InsertionNumber 
,cs.LastMoveDate
,cs.LastMoveDateGMT
,c.LastActivityDate
,f.FactoryName
from CurrentStatus cs
INNER JOIN Container c on cs.CurrentStatusId = c.CurrentStatusId
INNER JOIN spec s on cs.SpecId = s.SpecId
INNER JOIN specbase sb on s.SpecBaseId = sb.SpecBaseId
INNER JOIN operation o on s.operationid = o.operationid
LEFT OUTER JOIN  workcenter wc on o.workcenterid = wc.workcenterid
INNER JOIN Workflowstep wfs on cs.WorkflowStepId = wfs.WorkflowStepId
INNER JOIN Workflow wf on wfs.WorkflowId = wf.WorkflowId
INNER JOIN Workflowbase wfb on wf.WorkflowBaseId = wfb.workflowbaseid
INNER JOIN UOM on c.uomid = uom.uomid
LEFT OUTER JOIN  UOM UOM2 on c.UOM2Id = uom2.UOMId
INNER JOIN product p on c.ProductId = p.productid
INNER JOIN productbase pb on p.ProductBaseId = pb.ProductBaseId
LEFT OUTER JOIN ProductType pt on p.ProductTypeId = pt.ProductTypeId
INNER JOIN Containerlevel on c.levelid = containerlevel.containerlevelid
LEFT OUTER JOIN A_ProcessSpec ps on c.ProcessSpecId = ps.ProcessSpecId
LEFT OUTER JOIN A_ProcessSpecBase psb on ps.ProcessSpecBaseId = psb.ProcessSpecBaseId
INNER JOIN Factory f on f.factoryId = cs.FactoryId
LEFT OUTER JOIN HOLDREASON hr ON hr.holdreasonid = c.holdreasonid
LEFT OUTER JOIN A_HoldLocation hl ON hl.HoldLocationId = c.HoldLocationId
LEFT OUTER JOIN WorkflowStep wfs2 ON wfs2.WorkflowStepId = c.LastStepId
LEFT OUTER JOIN SPEC s2 ON s2.specid = wfs2.specid OR s2.SpecBaseId = wfs2.SpecBaseId
LEFT OUTER JOIN SPECBASE sb2 ON sb2.specbaseid = s2.specbaseid
LEFT OUTER JOIN WORKFLOW wf2 ON wf2.workflowid = wfs2.workflowid
LEFT OUTER JOIN WORKFLOWBASE wfb2 ON wfb2.workflowbaseid = wf2.workflowbaseid
LEFT OUTER JOIN OWNER on c.OwnerId = Owner.OwnerId
LEFT OUTER JOIN PriorityCode on c.PriorityCodeId = PriorityCode.PriorityCodeId
LEFT JOIN A_WIPEquipment WE ON C.ContainerId = WE.ContainerId
LEFT JOIN ResourceDef R ON R.ResourceId = WE.EquipmentId
LEFT JOIN ResourceFamily ET ON R.ResourceFamilyId = ET.ResourceFamilyId
where wfs.IsLastStep &lt;&gt; 1</t>
  </si>
  <si>
    <t>Summary Table Definition</t>
  </si>
  <si>
    <t>Definitions for Summary Tables</t>
  </si>
  <si>
    <t>Summary SQL</t>
  </si>
  <si>
    <t>TargetSchema</t>
  </si>
  <si>
    <t>TargetTableName</t>
  </si>
  <si>
    <t>IsView</t>
  </si>
  <si>
    <t>Force Execute</t>
  </si>
  <si>
    <t>Force Refresh</t>
  </si>
  <si>
    <t>Append To Table</t>
  </si>
  <si>
    <t>- - FALSE</t>
  </si>
  <si>
    <t>Is Enabled</t>
  </si>
  <si>
    <t>Is Manually Executed</t>
  </si>
  <si>
    <t>StartDate</t>
  </si>
  <si>
    <t>EndDate</t>
  </si>
  <si>
    <t>LastRunDate</t>
  </si>
  <si>
    <t>NextRunDate</t>
  </si>
  <si>
    <t>DATE</t>
  </si>
  <si>
    <t>0,1,2,3,4,5,6,7,8,9,10,11,12,13,14,15,16,17,18,19,20,21,22,23,</t>
  </si>
  <si>
    <t>Schedule Days Of Month</t>
  </si>
  <si>
    <t>Schedule Days Of Week</t>
  </si>
  <si>
    <t>Schedule Hours</t>
  </si>
  <si>
    <t>Schedule Months</t>
  </si>
  <si>
    <t>Last Run Message</t>
  </si>
  <si>
    <t>0,</t>
  </si>
  <si>
    <t>SELECT ctn.containername, ctn.status, hml.callbycdoname, hml.cdoname, hml.txndate, hml.cdotxnsequence, hml.containertxnsequence, hml.qty, hml.qty2, hml.integrationtxnid  
    /* RESOURCEDEF */                                , rd.resourcename
    /* PRODUCTIONSTATUS */                    , ps.availability 
    /* A_Consumematerialshistorydetai */       , cmhd.consumefactor, cmhd.consumetype, cmhd.materiallotname, cmhd.materiallotid, cmhd.materialpartname, cmhd.materialpartrevision, cmhd.qtyrequired, cmhd.qtyconsumed, cmhd.withdrawaltimestamp, cmhd.thawingtimestamp
FROM HistoryMainline hml
INNER JOIN CONTAINER ctn ON ctn.containerid = hml.historyid
INNER JOIN RESOURCEDEF rd                                             ON rd.resourceid = hml.Resourceid
INNER JOIN PRODUCTIONSTATUS ps                                 ON ps.productionstatusid = rd.productionstatusid
INNER JOIN A_ConsumeMaterialsHistory cmh                                  ON cmh.historymainlineid = hml.historymainlineid    
INNER JOIN a_Consumematerialshistorydetai cmhd    ON cmhd.consumematerialshistoryid = cmh.consumematerialshistoryid
WHERE hml.cdoname =  'ConsumeMaterials'</t>
  </si>
  <si>
    <t>Summary of all the different types datacollections for a container</t>
  </si>
  <si>
    <t>Summary of al consumed compoonents</t>
  </si>
  <si>
    <t>Summary or all containers that have gone through the last processing step where the is last step flag is checked.  This table can then be use for yield, throughput, and cycletime across a whole workflow or factory.</t>
  </si>
  <si>
    <t>SELECT 
HistoryMainline.ContainerName
,HistoryMainline.ContainerId
,Container.FactoryStartDate
,Container.OriginalQty
,container.OriginalQty2
,container.Qty
,container.Qty2
,container.QtyScheduled
,HistoryMainline.TxnDate
,HistoryMainline.TxnDateGMT
,Factory.FactoryName
,HistoryMainline.TxnType
,HistoryMainline.BaseTxnType
,HistoryMainline.CallByCDOName
,WorkflowStep.WorkflowStepName
,historymainline.CalendarShiftId
,cast(historymainline.txndate as Date) as CalendarDate
,historymainline.ShiftName
,DATEDIFF_BIG(millisecond,Container.FactoryStartDate,HistoryMainline.TxnDate) as CycleTime
,historymainline.ProductId
,HistoryMainline.ProductName
FROM
HistoryMainline
Inner Join Factory on HistoryMainline.FactoryId = Factory.FactoryId
Inner Join Container on HistoryMainline.ContainerId = Container.ContainerId
Inner join MoveHistory on historymainline.HistoryMainlineId = MoveHistory.HistoryMainlineId
Inner join workflowstep  on MoveHistory.ToStepId = WorkflowStep.WorkflowStepId
Where WorkflowStep.IsLastStep = 1</t>
  </si>
  <si>
    <t>Summary of Inventory containers history</t>
  </si>
  <si>
    <t>select Containername, Qty, UOMName, ProductName, TxnDate, EmployeeName, FromSpecName, SpecName, CallByCDOName, Comments
From HistoryMainline
Inner Join Product on historymainline.ProductId = product.productID 
Where Product.ObjectCategory = 'MATERIALPART'</t>
  </si>
  <si>
    <t>Summary of all Jobs perforrmed</t>
  </si>
  <si>
    <t>SELECT r.resourcename, r.objectcategory, hml.cdoname, hml.txndate, hml.cdotxnsequence, hml.integrationtxnid
    /* A_JobTxnHistory */ , jth.JobModelName, jth.JobOrderName, jth.JobStatus CreatedStatus, jth.StageName CreatedStagename, jth.StageSequence CreatedStageSequence, jth.ToStageName, jth.ToStageSequence
    /* A_Job */ , j.CreateDate, j.CompleteDate, j.ClockOnCount, j.FirstClockOnDate, j.JobStatus, j.LastClockOffDate, j.RepairCodeName, j.StageName, j.StageSequence, j.SymptomCodeName, j.AssignCount 
    /* A_JobOrder */ , jo.JobOrderName JobOrder
    /* A_JobOrderDetail */
    /* A_JobTxnHistoryDetail */ , jthd.TechnicianName, jthd.TechnicianStatus 
    /* A_JobTechnician */, jt.FirstClockOnDate TechFirstClockOnDate, jt.ClockOnDate TechClockOnDate, jt.LastClockOffDate TechLastClockOffDate 
FROM HistoryMainline hml
INNER JOIN A_JobTxnHistory jth ON jth.HistoryMainlineId = hml.HistoryMainlineId
LEFT OUTER JOIN A_JobTxnHistoryDetail jthd ON jthd.JobTxnHistoryId = jth.JobTxnHistoryId
INNER JOIN ResourceDef r ON r.ResourceId = hml.historyid
INNER JOIN ProductionStatus ps ON ps.ProductionStatusId = r.ProductionStatusId
INNER JOIN A_Job j ON j.JobId = jth.JobId
INNER JOIN A_JobOrder jo ON jo.JobOrderId = jth.JobOrderId
INNER JOIN A_JobOrderDetail jod ON jod.JobOrderId = jth.JobOrderId
LEFT OUTER JOIN A_JobTechnician jt ON jt.JobId = j.JobId</t>
  </si>
  <si>
    <t>Summary of a containers past and future processing steps useful for creating a oonline traveler</t>
  </si>
  <si>
    <t>SELECT        ContainerName, 
                         CASE Status WHEN 0 THEN 'DELETED' WHEN 1 THEN 'ACTIVE' WHEN 2 THEN 'TERMINATED' WHEN 3 THEN 'INTRANSIT' WHEN 4 THEN 'ISSUED' WHEN 5 THEN 'SHIPPED' ELSE 'UNDEFINED' END AS LOTSTATUS,
                          ProductName, WorkflowName, WorkflowStepName, Qty, Qty2, OwnerName, ObjectType AS ProcessspecObjectType, ProcessSpecName, ProcessSpecRevision, StepSequence, ProcessTypeSequence, STEP, 
                         currentStep, CASE WHEN IN_QTY = 0 THEN NULL ELSE IN_QTY END AS MoveInQty, OUT_QTY AS MoveOutQty, CASE WHEN IN_QTY = 0 THEN NULL WHEN OUT_QTY IS NULL AND REJ_QTY = 0 THEN NULL 
                         ELSE REJ_QTY END AS RejectQty, CASE WHEN OUT_QTY IS NULL THEN NULL WHEN IN_QTY &gt; 0 THEN CAST(100 * ((IN_QTY - REJ_QTY) / IN_QTY) AS nvarchar(10)) + '%' ELSE NULL END AS YIELD, 
                         CONVERT(datetime, IN_TIME, 121) AS MoveInTimestamp, CONVERT(datetime, OUT_TIME, 121) AS MoveOutTimeStamp, OUT_USER AS MoveOutUsername
FROM            (SELECT        ctn.ContainerName, ctn.Status, ctn.Qty, ctn.Qty2, pb.ProductName, wfb.WorkflowName, wfs.WorkflowStepName, owner.OwnerName, ps.ObjectType, psb.ProcessSpecName, ps.ProcessSpecRevision, 
                                                    ST.StepSequence, ST.ProcessTypeSequence, CASE WHEN ST.ProcessTypeName IS NULL THEN ST.WorkflowStepName ELSE ST.WorkflowStepName + ' (' + ST.ProcessTypeName + ')' END AS STEP, 
                                                    CASE WHEN ST.WorkflowStepId = cs.WorkflowStepId THEN '=&gt;' ELSE NULL END AS currentStep, CASE WHEN hml.TxnDate IS NOT NULL AND 
                                                    SD.ScheduleQtyType = 'Qty' THEN hml.MoveInQty WHEN hml.TxnDate IS NOT NULL THEN hml.MoveInQty2 WHEN ST.WorkflowStepId = CS.WorkflowStepId AND 
                                                    SD.ScheduleQtyType = 'Qty' THEN ctn.MoveInQty WHEN ST.WorkflowStepId = CS.WorkflowStepId THEN ctn.MoveInQty2 ELSE NULL END AS IN_QTY, CASE WHEN hml.TxnDate IS NOT NULL AND 
                                                    SD.ScheduleQtyType = 'Qty' THEN CASE WHEN hml.cdoname = 'RejectLot' THEN NULL WHEN hml.cdoname = 'MoveLot' THEN hml.Qty ELSE NULL END WHEN hml.TxnDate IS NOT NULL 
                                                    THEN hml.Qty2 ELSE NULL END AS OUT_QTY, CASE WHEN rlh.TotalQty IS NULL THEN 0 ELSE rlh.TotalQty END AS REJ_QTY, NULL AS YIELD, CASE WHEN hml.MoveInTimeStamp IS NOT NULL 
                                                    THEN hml.MoveInTimeStamp WHEN ST.WorkflowStepId = CS.WorkflowStepId THEN ctn.MoveInTimeStamp ELSE NULL END AS IN_TIME, CASE WHEN hml.cdoname = 'RejectLot' THEN NULL 
                                                    WHEN hml.cdoname = 'MoveLot' THEN hml.TxnDate ELSE NULL END AS OUT_TIME, CASE WHEN hml.cdoname = 'RejectLot' THEN NULL 
                                                    WHEN hml.cdoname = 'MoveLot' THEN hml.EmployeeName ELSE NULL END AS OUT_USER
                          FROM            Container AS ctn INNER JOIN
                                                    CurrentStatus AS CS ON ctn.CurrentStatusId = CS.CurrentStatusId INNER JOIN
                                                    Product AS p ON p.ProductId = ctn.ProductId INNER JOIN
                                                    ProductBase AS pb ON pb.ProductBaseId = p.ProductBaseId INNER JOIN
                                                    WorkflowStep AS wfs ON wfs.WorkflowStepId = CS.WorkflowStepId INNER JOIN
                                                    Workflow AS wf ON wf.WorkflowId = wfs.WorkflowId INNER JOIN
                                                    WorkflowBase AS wfb ON wfb.WorkflowBaseId = wf.WorkflowBaseId INNER JOIN
                                                    Owner AS owner ON owner.OwnerId = ctn.OwnerId INNER JOIN
                                                    A_ProcessSpec AS ps ON ps.ProcessSpecId = ctn.ProcessSpecId INNER JOIN
                                                    A_ProcessSpecBase AS psb ON psb.ProcessSpecBaseId = ps.ProcessSpecBaseId INNER JOIN
                                                    A_ScheduleData AS SD ON ctn.ScheduleDataId = SD.ScheduleDataId INNER JOIN
                                                    A_ScheduleTraveler AS ST ON SD.ScheduleDataId = ST.ScheduleDataId LEFT OUTER JOIN
                                                    HistoryMainline AS HML ON ctn.ContainerId = HML.HistoryId AND HML.CDOName IN ('MoveLot', 'RejectLot') AND HML.TxnDate &gt;= SD.PreparationDate AND 
                                                    ST.WorkflowStepId = HML.WorkflowStepId LEFT OUTER JOIN
                                                    A_RejectLotHistory AS rlh ON rlh.HistoryMainlineId = HML.HistoryMainlineId
                          UNION
                          SELECT        ctn.ContainerName, ctn.Status, ctn.Qty, ctn.Qty2, pb.ProductName, wfb.WorkflowName, wfs.WorkflowStepName, owner.OwnerName, ps.ObjectType, psb.ProcessSpecName, ps.ProcessSpecRevision, 
                                                   ST.StepSequence, ST.ProcessTypeSequence, CASE WHEN ST.ProcessTypeName IS NULL THEN ST.WorkflowStepName ELSE ST.WorkflowStepName + ' (' + ST.ProcessTypeName + ')' END AS STEP, 
                                                   CASE WHEN ST.WorkflowStepId = cs.WorkflowStepId THEN '=&gt;' ELSE NULL END AS currentStep, 
                                                   CASE WHEN SD.ScheduleQtyType = 'Qty' THEN ctn.MoveInQty ELSE ctn.MoveInQty2 END AS IN_QTY, NULL AS OUT_QTY, CASE WHEN rlh.TotalQty IS NULL 
                                                   THEN 0 ELSE rlh.TotalQty END AS REJ_QTY, NULL AS YIELD, ctn.MoveInTimestamp AS IN_TIME, NULL AS OUT_TIME, NULL AS OUT_USER
                          FROM            Container AS ctn INNER JOIN
                                                   CurrentStatus AS CS ON ctn.CurrentStatusId = CS.CurrentStatusId INNER JOIN
                                                   WorkflowStep AS wfs ON wfs.WorkflowStepId = CS.WorkflowStepId INNER JOIN
                                                   Workflow AS wf ON wf.WorkflowId = wfs.WorkflowId INNER JOIN
                                                   WorkflowBase AS wfb ON wfb.WorkflowBaseId = wf.WorkflowBaseId INNER JOIN
                                                   Product AS p ON p.ProductId = ctn.ProductId INNER JOIN
                                                   ProductBase AS pb ON pb.ProductBaseId = p.ProductBaseId INNER JOIN
                                                   Owner AS owner ON owner.OwnerId = ctn.OwnerId INNER JOIN
                                                   A_ProcessSpec AS ps ON ps.ProcessSpecId = ctn.ProcessSpecId INNER JOIN
                                                   A_ProcessSpecBase AS psb ON psb.ProcessSpecBaseId = ps.ProcessSpecBaseId INNER JOIN
                                                   A_ScheduleData AS SD ON ctn.ScheduleDataId = SD.ScheduleDataId INNER JOIN
                                                   A_ScheduleTraveler AS ST ON SD.ScheduleDataId = ST.ScheduleDataId AND ST.WorkflowStepId = CS.WorkflowStepId LEFT OUTER JOIN
                                                   HistoryMainline AS HML ON ctn.ContainerId = HML.HistoryId AND HML.CDOName IN ('RejectLot') AND HML.TxnDate &gt;= SD.PreparationDate AND 
                                                   ST.WorkflowStepId = CS.WorkflowStepId LEFT OUTER JOIN
                                                   A_RejectLotHistory AS rlh ON rlh.HistoryMainlineId = HML.HistoryMainlineId) AS OnlineTraveler</t>
  </si>
  <si>
    <t>summary of all rejects</t>
  </si>
  <si>
    <t>SELECT ctn.containername
, ctn.status
,ctn.ContainerId
,Factory.FactoryName
,pb.productname
,product.ProductRevision
,product.ObjectCategory
, hml.callbycdoname
, hml.cdoname
, hml.txndate
,hml.TxnDateGMT
,hml.ShiftName as hmlShift
, hml.cdotxnsequence
, hml.containertxnsequence
, hml.qty as txnQty
, hml.qty2 as txnQty2
, hml.integrationtxnid                                       
, rlh.totalqty as rejectQty                        
, rlhd.lossreasonname
, rlhd.totalqty as rejectDetailsTotalQty
,rlhd.RejectType
,rlhd.RejectCategoryName
,rlhd.RejectCause
,rlhd.RejectComment
,rlhd.WaferRejectsAtBottomLeft
,rlhd.WaferRejectsAtBottomRight
,rlhd.WaferRejectsAtCenter
,rlhd.WaferRejectsAtTopLeft
,rlhd.WaferRejectsAtTopRight
,rlhd.waferrejectsqty
,rlhd.WaferRejectsType
,rlhd.WaferRejectsXLocation
,rlhd.WaferRejectsYLocation
,rlhd.WaferRejectsZLocation
,rlhd.WaferScribeNumber
,rlhd.YieldOffWafer
,rlhd.scsChargeToResourceId as chargeToResource
,resourcedef.ResourceName as txnResource
,hml.CalendarShiftId
,cast(hml.txndate as Date) as CalendarDate
,hml.ShiftName  as mfgCalendarShift
,hml.Username
,hml.EmployeeName
,workflow.WorkflowId
,workflowbase.WorkflowName
,workflow.WorkflowRevision
,SpecBase.SpecName
,Spec.SpecRevision
,hml.WorkflowStepId
,workflowStep.WorkflowStepName
,hml.ProcessSpecId
,A_ProcessSpecBase.ProcessSpecName
,A_ProcessSpec.ProcessSpecRevision
FROM HistoryMainline hml
INNER JOIN Factory on hml.FactoryId = Factory.FactoryId
INNER JOIN CONTAINER ctn ON ctn.containerid = hml.historyid
INNER JOIN A_REJECTLOTHISTORY rlh ON rlh.historymainlineid = hml.historymainlineid    
INNER JOIN A_REJECTLOTHISTORYDETAILS rlhd ON rlhd.rejectlothistoryid = rlh.rejectlothistoryid
LEFT OUTER JOIN CalendarShift on hml.CalendarShiftId = CalendarShift.CalendarShiftId
LEFT OUTER JOIN shift on CalendarShift.ShiftId = Shift.ShiftId
LEFT OUTER JOIN ResourceDef on rlhd.scsChargeToResourceId = ResourceDef.ResourceId
INNER JOIN Product on hml.ProductId = product.productid
INNER JOIN ProductBase pb on product.ProductBaseId = pb.ProductBaseId
Inner JOIN Spec on rlhd.SpecId = spec.specID
INNER JOIN SpecBase on spec.SpecBaseId = SpecBase.SpecBaseId
INNER JOIN WorkflowStep on hml.WorkflowStepId = workflowstep.workflowstepid
Inner JOIN Workflow on WorkflowStep.WorkflowId = Workflow.WorkflowId
INNER JOIN WorkflowBase on workflow.WorkflowBaseId = WorkflowBase.WorkflowBaseId
INNER JOIN A_ProcessSpec on hml.ProcessSpecId = A_ProcessSpec.ProcessSpecId
INNER JOIN A_ProcessSpecBase on A_ProcessSPec.ProcessSpecBaseId = A_ProcessSpecBase.ProcessSpecBaseId
WHERE (hml.SystemDate&gt;=@LastRunDate or @lastRunDate IS NULL)</t>
  </si>
  <si>
    <t>Summary of all rework</t>
  </si>
  <si>
    <t>Select
 hml.ContainerName
 ,hml.ContainerId
 ,MoveHistory.FromSpecName
 ,fromSpec.SpecRevision as FromSpecRevision
,MoveHistory.FromSpecObjectCategory
,MoveHistory.FromStepSequence
,FromStep.WorkflowStepName as FromWorkflowStepName
,FromWFB.WorkflowName as FromWorkflowName
,FromWF.WorkflowRevision as FromWorkflowRevision
,MoveHistory.LastSpecName
,MoveHistory.LastSpecObjectCategory
,FromResource.ResourceName as FromResource
,MoveHistory.ownerID
,Owner.OwnerName
,MoveHistory.ProductId
,ProductBase.ProductName
,Product.ProductRevision
,MoveHistory.Qty
,UOM.UOMName as UOM
,UOM2.UOMName as UOM2
,MoveHistory.Qty2
,MoveHistory.ReEntryStepId
,ReEntryStep.WorkflowStepName as ReEntryStepName
,ReEntryWFB.WorkflowName as RentryWorkflow
,ReEntryWF.WorkflowRevision as ReEntryWorkflowRevision
,MoveHistory.ReworkReasonId
,ReworkReason.ReworkReasonName
,ToWorkFlowBase.WorkflowName as ToWorkflowName
,ToWorkflow.WorkflowRevision as ToWorkflowRevision
,MoveHistory.StepId as FromStepId
,MoveHistory.ToResourceId
,MoveHistory.ToSpecId
,toSpec.SpecRevision as ToSpecRevision
,MoveHistory.ToSpecName
,MoveHistory.ToSpecObjectCategory
,MoveHistory.ToSpecObjectType
,MoveHistory.ToStepId
,ToStep.WorkflowStepName as ToStepName
,ToResource.ResourceName as ToResource
,hml.txndate
,hml.txndategmt
,cast(hml.txndate as Date) as CalendarDate
,hml.ShiftName
,hml.TxnType
,hml.CallByCDOName
,hml.cdoname
,hml.EmployeeName
,hml.Username
,hml.FactoryId
,Factory.FactoryName
 from MoveHistory
 Inner Join HistoryMainline hml on MoveHistory.HistoryMainlineId = hml.HistoryMainlineId
 Inner Join spec toSpec on movehistory.ToSpecId =toSpec.SpecId
 Inner JOIN specBase toSpecBase on toSpec.SpecBaseId = toSpecBase.SpecBaseId
 INNER JOIN spec fromSpec on hml.FromSpecId =fromSpec.SpecId
 INNER JOIN specBase fromSpecBase on fromSpec.SpecBaseId = fromSpecBase.SpecBaseId
 INNER JOIN ReworkReason on MoveHistory.ReworkReasonId = ReworkReason.ReworkReasonId
 INNER JOIN WorkflowStep ToStep on MoveHistory.ToStepId = ToStep.WorkflowStepId
 INNER JOIN Workflow ToWorkflow on ToStep.WorkflowId = ToWorkflow.WorkflowId
 INNER JOIN WorkflowBase ToWorkFlowBase on ToWorkflow.WorkflowBaseId = ToWorkFlowBase.WorkflowBaseId 
 Inner JOIN Factory on hml.FactoryId = Factory.FactoryId
 LEFT OUTER JOIN CalendarShift on hml.CalendarShiftId = CalendarShift.CalendarShiftId
LEFT OUTER JOIN shift on CalendarShift.ShiftId = Shift.ShiftId
LEFT OUTER JOIN ResourceDef ToResource on MoveHistory.ToResourceId = ToResource.ResourceId
LEFT OUTER JOIN ResourceDef FromResource on hml.ResourceId = FromResource.ResourceId
LEFT OUTER JOIN Workflowstep ReEntryStep on MoveHistory.ReEntryStepId = ReEntryStep.WorkflowStepId
LEFT OUTER JOIN Workflow ReEntryWF on ReEntryStep.WorkflowId = ReEntryWF.WorkflowId
LEFT OUTER JOIN WorkflowBase ReEntryWFB on ReEntryWF.WorkflowBaseId = ReEntryWFB.WorkflowBaseId
INNER JOIN WorkflowStep FromStep on MoveHistory.StepId = FromStep.WorkflowStepId
INNER JOIN Workflow FromWF on FromStep.WorkflowId = FromWF.WorkflowId
INNER JOIN WorkflowBase FromWFB on FromWF.WorkflowBaseId = FromWFB.WorkflowBaseId
INNER JOIN Product on MoveHistory.ProductId = Product.ProductId
INNER JOIN ProductBase on Product.ProductBaseId = ProductBase.ProductBaseId
INNER JOIN Owner on MoveHistory.OwnerId = Owner.OwnerId
INNER JOIN UOM on MoveHistory.UOMId = UOM.UOMId
LEFT OUTER JOIN UOM UOM2 on MoveHistory.UOM2Id = UOM2.UOMId
where MoveHistory.ReworkReasonid is not null
and (hml.SystemDate&gt;=@LastRunDate or @lastRunDate IS NULL)</t>
  </si>
  <si>
    <t>Summary of  containers movement history for a given operation, spec, step .  Can be used for calculating yield, throughput, containers moved over time etc.</t>
  </si>
  <si>
    <t>Select
hml.ContainerName
,hml.MoveInQty
,hml.MoveInQty2
,hml.qty as TxnQty
,hml.Qty2 as TxnQty2
,MoveHistory.Qty as MoveOutQty
,MoveHistory.Qty2 as MoveQty2
,MoveHistory.CycleTime as CycleTimeDays
 ,MoveHistory.FromSpecName
 ,fromSpec.SpecRevision as FromSpecRevision
,MoveHistory.FromSpecObjectCategory
,MoveHistory.FromStepSequence
,FromStep.WorkflowStepName as FromWorkflowStepName
,FromWFB.WorkflowName as FromWorkflowName
,FromWF.WorkflowRevision as FromWorkflowRevision
,MoveHistory.LastSpecName
,MoveHistory.LastSpecObjectCategory
,FromResource.ResourceName as FromResource
,MoveHistory.ownerID
,Owner.OwnerName
,MoveHistory.ProductId
,ProductBase.ProductName
,Product.ProductRevision
,UOM.UOMName as UOM
,UOM2.UOMName as UOM2
,MoveHistory.Qty2
,ToWorkFlowBase.WorkflowName as ToWorkflowName
,ToWorkflow.WorkflowRevision as ToWorkflowRevision
,MoveHistory.StepId as FromStepId
,MoveHistory.ToResourceId
,MoveHistory.ToSpecId
,toSpec.SpecRevision as ToSpecRevision
,MoveHistory.ToSpecName
,MoveHistory.ToSpecObjectCategory
,MoveHistory.ToSpecObjectType
,MoveHistory.ToStepId
,ToStep.WorkflowStepName as ToStepName
,ToResource.ResourceName as ToResource
,hml.txndate
,hml.txndategmt
,cast(hml.TxnDate as Date) as CalendarDate
,hml.ShiftName
,hml.TxnType
,hml.CallByCDOName
,hml.cdoname
,hml.EmployeeName
,hml.Username
,hml.FactoryId
,Factory.FactoryName
 from MoveHistory
 Inner Join HistoryMainline hml on MoveHistory.HistoryMainlineId = hml.HistoryMainlineId
 Inner Join spec toSpec on movehistory.ToSpecId =toSpec.SpecId
 Inner JOIN specBase toSpecBase on toSpec.SpecBaseId = toSpecBase.SpecBaseId
 INNER JOIN spec fromSpec on hml.FromSpecId =fromSpec.SpecId
 INNER JOIN specBase fromSpecBase on fromSpec.SpecBaseId = fromSpecBase.SpecBaseId
 INNER JOIN WorkflowStep ToStep on MoveHistory.ToStepId = ToStep.WorkflowStepId
 INNER JOIN Workflow ToWorkflow on ToStep.WorkflowId = ToWorkflow.WorkflowId
 INNER JOIN WorkflowBase ToWorkFlowBase on ToWorkflow.WorkflowBaseId = ToWorkFlowBase.WorkflowBaseId 
 Inner JOIN Factory on hml.FactoryId = Factory.FactoryId
 LEFT OUTER JOIN CalendarShift on hml.CalendarShiftId = CalendarShift.CalendarShiftId
LEFT OUTER JOIN shift on CalendarShift.ShiftId = Shift.ShiftId
LEFT OUTER JOIN ResourceDef ToResource on MoveHistory.ToResourceId = ToResource.ResourceId
LEFT OUTER JOIN ResourceDef FromResource on hml.ResourceId = FromResource.ResourceId
INNER JOIN WorkflowStep FromStep on MoveHistory.StepId = FromStep.WorkflowStepId
INNER JOIN Workflow FromWF on FromStep.WorkflowId = FromWF.WorkflowId
INNER JOIN WorkflowBase FromWFB on FromWF.WorkflowBaseId = FromWFB.WorkflowBaseId
INNER JOIN Product on MoveHistory.ProductId = Product.ProductId
INNER JOIN ProductBase on Product.ProductBaseId = ProductBase.ProductBaseId
INNER JOIN Owner on MoveHistory.OwnerId = Owner.OwnerId
INNER JOIN UOM on MoveHistory.UOMId = UOM.UOMId
LEFT OUTER JOIN UOM UOM2 on MoveHistory.UOM2Id = UOM2.UOMId
where MoveHistory.ReworkReasonid is null</t>
  </si>
  <si>
    <t>Summary of containers currently on hold</t>
  </si>
  <si>
    <t>SELECT ctn.containername, ctn.status 
    , ctn.holdlocationduration * 60  HoldlocDurCurrentStepInMins
    , ctn.holdlocationtotalduration * 60  HoldlocDurAllStepsInMins
    , t.specname, t.holdlocationname
    , t.starttimestamp, t.endtimestamp, t.HoldLocationDurationInHours, t.HoldLocationDurationInMins
FROM 
(
    SELECT 
        lhl.containerid
        , lhl.specname
        , lhl.holdlocationname
        , lhl.starttimestamp
        , CASE 
          WHEN lhl.endtimestamp IS NULL THEN GETDATE()
          ELSE lhl.endtimestamp
          END endtimestamp
        /* Current, lot is still on hold at a hold location (therefore, there will not be endtimestamp value) */
        ,datediff(d,lhl.starttimestamp,(isnull(lhl.endtimestamp, GETDATE()))) * 24 HoldLocationDurationInHours
        ,datediff(d,lhl.starttimestamp,(isnull(lhl.endtimestamp, getdate()))) * 24 * 60 HoldLocationDurationInMins
    FROM A_LOTHOLDLOCATIONS lhl
    UNION 
    SELECT 
        lhlh.containerid
        , lhlh.specname
        , lhlh.holdlocationname
        , lhlh.starttimestamp
        , lhlh.endtimestamp
        , datediff(D,lhlh.starttimestamp,lhlh.endtimestamp) * 24 HoldLocationDurationInHours
        , datediff(D,lhlh.endtimestamp,lhlh.endtimestamp) * 24 * 60 HoldLocationDurationInMins
    FROM A_LOTHOLDLOCATIONSHISTORY lhlh
) t
INNER JOIN CONTAINER ctn ON ctn.containerid = t.containerid</t>
  </si>
  <si>
    <t>Workflow Report View</t>
  </si>
  <si>
    <t>SELECT wfb.workflowname, wf.workflowrevision
     , (CASE WHEN wfs.steptype = 1 THEN 'Main Workflow' WHEN wfs.steptype = 2 THEN 'Sub Workflow' END) TypeOfWorkflow
    , (SELECT wfs1.sequence FROM WORKFLOWSTEP wfs1 WHERE wfs1.workflowstepid = p.fromstepid) StepSequence
    , (SELECT wfs1.workflowstepname FROM WORKFLOWSTEP wfs1 WHERE wfs1.workflowstepid = p.fromstepid) fromStepName
    , (SELECT wfs1.workflowstepname FROM WORKFLOWSTEP wfs1 WHERE wfs1.workflowstepid = p.tostepid) toStepName
    , (CASE /* For default path, wfs.defaultpathid = p.pathid */ 
       WHEN wfs.defaultpathid = p.pathid THEN 'Default' /* For alternate or rework path, wfs.defaultpathid &lt;&gt; p.pathid AND cdotypeid &lt;&gt; 1440 */
       WHEN p.cdotypeid = 1440 THEN 'Alternate'
       WHEN p.cdotypeid = 7112 THEN 'Rework'
       END) TypeOfPath
     , wc.workcentername
     , o.usequeue  "MoveInRequireFlag"
     , s.binsplitrequired  "BinsplitRequired"
     , s.iswaferprocessing "IsItemProcessing"
     , sb.SpecName SpecName, s.ObjectCategory  Spec_ObjectCategory, s.ObjectType  Spec_ObjectType, s.IsTest Spec_isTestStep, s.AllowRejectsRecording  Spec_AllowRejectsRecording
    , wds.WIPDataSetupName   Spec_WIPDataSetupName, epb.ElectronicProcedureName Spec_ElectronicProcedureName, wfs.defaultpathid, p.pathid, p.cdotypeid
FROM WORKFLOWSTEP wfs
INNER JOIN WORKFLOW wf ON wf.workflowid = wfs.workflowid
INNER JOIN WORKFLOWBASE wfb ON wfb.workflowbaseid = wf.workflowbaseid
LEFT OUTER JOIN WORKFLOWSTEPPATHSELECTORS wfsps ON wfsps.workflowstepid = wfs.workflowstepid
LEFT OUTER JOIN PATHSELECTOR ps ON ps.pathselectorid = wfsps.pathselectorsid
INNER JOIN PATH p  ON p.pathid = ps.pathid OR p.fromstepid = wfs.workflowstepid  /* using INNER JOIN eliminate the last step which has no toStep which also means that there is no path */
LEFT OUTER JOIN Spec s ON s.SpecId = wfs.SpecId OR s.SpecBaseId = wfs.SpecBaseId  
LEFT OUTER JOIN SpecBase sb ON sb.SpecBaseId = s.SpecBaseId
LEFT OUTER JOIN OPERATION o ON o.operationid = s.operationid
LEFT OUTER JOIN Workcenter wc ON wc.workcenterid = o.workcenterid
LEFT OUTER JOIN A_WIPDataSetup wds ON wds.WIPDataSetupId = s.WIPDataSetupId   /* Get the WIPDataSetup name that is attached to the Spec */
LEFT OUTER JOIN ElectronicProcedure ep ON ep.electronicprocedureid = s.electronicprocedureid OR ep.electronicprocedurebaseid = s.electronicprocedurebaseid   /* Get the WIPDataSetup name that is attached to the Spec */
LEFT OUTER JOIN ElectronicProcedureBase epb ON epb.electronicprocedurebaseid = ep.electronicprocedurebaseid</t>
  </si>
  <si>
    <t>SummaryTableDef</t>
  </si>
  <si>
    <t>SM_ActiveContainers</t>
  </si>
  <si>
    <t>SM_ComponentConsumption</t>
  </si>
  <si>
    <t>SM_DataCollections</t>
  </si>
  <si>
    <t>SM_FactoryPerformance</t>
  </si>
  <si>
    <t>SM_InventoryHistory</t>
  </si>
  <si>
    <t>SM_JobHistory</t>
  </si>
  <si>
    <t>SM_OnlineTraveler</t>
  </si>
  <si>
    <t>SM_RejectHistory</t>
  </si>
  <si>
    <t>SM_ReworkSummary</t>
  </si>
  <si>
    <t>SM_SpecThroughputandYield</t>
  </si>
  <si>
    <t>SM_StepHoldStatus</t>
  </si>
  <si>
    <t>SM_Workflow</t>
  </si>
  <si>
    <t xml:space="preserve">SELECT
    WLH.ContainerId
 ,c.containerName
    , WLH.WIPLotLinkId
    , wlh.WIPTrackingGroupKeyId
    , wlh.SpecId
    , WLH.Specname
    , O.Operationname
    , O.Description
    , WDH.ServiceName
    , CASE 
      WHEN WDH.IsWaferData=1 then 'Y'
      ELSE 'N'
      END IsByWafer  -- Indicates whether the WIP data collection was by wafer.
    , WDH.WaferScribeNumber
    , 'NORMAL' ProcessTypeName
    , WDH.WIPDataNameName
    , WDH.WIPDataValue
    , WDH.UpperLimit
    , WDH.Lowerlimit
    , WDH.DisplaySequence
    , WDH.txntimestamp
 ,WDH.Username
FROM
    A_WIPLotHistory WLH 
    INNER JOIN A_WIPLotDataHistory WDH ON WLH.WIPLotHistoryId = WDH.WIPLotHistoryId
    INNER JOIN SPEC S ON S.SpecID = WLH.SpecID
    INNER JOIN OPERATION O ON O.OperationID = S.Operationid
 Inner JOIN Container c on WLH.ContainerId = c.ContainerId
UNION
SELECT
    WLH.ContainerId
 ,c.containername
    , WLH.WIPLotLinkId
    , wlh.WIPTrackingGroupKeyId
    , wlh.SpecId
    , WLH.Specname
    , O.Operationname
    , O.Description
    , WLDDH.ServiceName
    , CASE 
      WHEN WLDDH.IsWaferData=1 then 'Y'
      ELSE 'N'
      END IsByWafer  -- Indicates whether the WIP data collection was by wafer.
    , WLDDH.WaferScribeNumber
    , WLDH.ProcessTypeName
    , WLDDH.WIPDataNameName
    , WLDDH.WIPDataValue
    , WLDDH.UpperLimit
    , WLDDH.Lowerlimit
    , WLDDH.DisplaySequence
    , WLDDH.txntimestamp
 ,WLDDH.Username
FROM
    A_WIPLotHistory WLH 
    INNER JOIN A_WIPLotDetailsHistory WLDH ON WLH.WIPLotHistoryId = WLDH.WIPLotHistoryId
    INNER JOIN A_WIPLotDetailsDataHistory WLDDH ON WLDH.WIPLotDetailsHistoryId = WLDDH.WIPLotDetailsHistoryId
    INNER JOIN SPEC S ON S.SpecID = WLH.SpecID
    INNER JOIN OPERATION O ON O.OperationID = S.Operationid
 INNER JOIN Container c on WLH.ContainerId = c.ContainerId
UNION
SELECT
    WLH.ContainerId
 ,c.ContainerName
    , WLH.WIPLotLinkId
    , wlh.WIPTrackingGroupKeyId
    , wlh.SpecId
    , WLH.Specname
    , O.Operationname
    , O.Description
    , WEDH.ServiceName
    , CASE 
      WHEN WEDH.IsWaferData=1 then 'Y'
      ELSE 'N'
      END IsByWafer  -- Indicates whether the WIP data collection was by wafer.
    , WEDH.WaferScribeNumber
    , WLDH.ProcessTypeName
    , WEDH.WIPDataNameName
    , WEDH.WIPDataValue
    , WEDH.Upperlimit
    , WEDH.Lowerlimit
    , WEDH.DisplaySequence
    , WEDH.Txntimestamp
 ,WEDH.Username
FROM
    A_WIPLotHistory WLH 
    INNER JOIN A_WIPLotDetailsHistory WLDH ON WLDH.WIPLotHistoryId = WLH.WIPLotHistoryId
    INNER JOIN A_WIPEquipmentHistory WEH ON WLDH.WIPLotDetailsLinkId = WEH.WIPLotDetailsLinkId  
    INNER JOIN A_WIPEquipmentDataHistory WEDH ON WEH.WIPEquipmentHistoryId = WEDH.WIPEquipmentHistoryId
    INNER JOIN SPEC S ON S.SpecID = WLH.SpecID
    INNER JOIN OPERATION O ON O.OperationID = S.Operationid
 Inner JOIN Container c on WLH.ContainerId = c.ContainerId
UNION 
Select 
hml.containerid
,hml.containerName
,'' as WIPLotLinkId
,'' as WIPTrackingGroupKeyId
,hml.SpecId
,hml.SpecName
,O.OperationName
,O.Description
,hml.CDOName
,'' as IsByWafer
,'' as WaferScribeNumber
,'' as ProcessTypeName
,dphd.DataName
,dphd.DataValue
,dphd.UpperLimit
,dphd.LowerLimit
,'' as DisplaySequence
,hml.TxnDate
,hml.EmployeeName
FROM DataPointHistoryDetail dphd
Inner Join DataPointHistory dph on dphd.DataPointHistoryId = dph.DataPointHistoryId
Inner Join HistoryMainline hml on hml.HistoryMainlineId = dph.HistoryMainlineId
Inner Join Operation O on hml.OperationId = o.OperationId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</si>
</sst>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d/yy\ h:mm;@"/>
  </numFmts>
  <fonts count="10" x14ac:knownFonts="1">
    <font>
      <sz val="10"/>
      <name val="Arial"/>
    </font>
    <font>
      <sz val="8"/>
      <name val="Arial"/>
      <family val="2"/>
    </font>
    <font>
      <b/>
      <sz val="18"/>
      <color indexed="9"/>
      <name val="Arial"/>
      <family val="2"/>
    </font>
    <font>
      <b/>
      <sz val="12"/>
      <name val="Arial"/>
      <family val="2"/>
    </font>
    <font>
      <sz val="12"/>
      <name val="Arial"/>
      <family val="2"/>
    </font>
    <font>
      <b/>
      <sz val="10"/>
      <name val="Arial"/>
      <family val="2"/>
    </font>
    <font>
      <sz val="10"/>
      <name val="Arial"/>
      <family val="2"/>
    </font>
    <font>
      <b/>
      <sz val="18"/>
      <color rgb="FF00B0F0"/>
      <name val="Arial"/>
      <family val="2"/>
    </font>
    <font>
      <sz val="10"/>
      <color rgb="FF000000"/>
      <name val="Arial"/>
      <family val="2"/>
    </font>
    <font>
      <b/>
      <sz val="10"/>
      <color rgb="FFFFFFFF"/>
      <name val="Arial"/>
      <family val="2"/>
    </font>
  </fonts>
  <fills count="5">
    <fill>
      <patternFill patternType="none"/>
    </fill>
    <fill>
      <patternFill patternType="gray125"/>
    </fill>
    <fill>
      <patternFill patternType="solid">
        <fgColor indexed="8"/>
        <bgColor indexed="64"/>
      </patternFill>
    </fill>
    <fill>
      <patternFill patternType="solid">
        <fgColor indexed="13"/>
        <bgColor indexed="64"/>
      </patternFill>
    </fill>
    <fill>
      <patternFill patternType="solid">
        <fgColor indexed="11"/>
        <bgColor indexed="64"/>
      </patternFill>
    </fill>
  </fills>
  <borders count="1">
    <border>
      <left/>
      <right/>
      <top/>
      <bottom/>
      <diagonal/>
    </border>
  </borders>
  <cellStyleXfs count="2">
    <xf numFmtId="0" fontId="0" fillId="0" borderId="0"/>
    <xf numFmtId="0" fontId="6" fillId="0" borderId="0"/>
  </cellStyleXfs>
  <cellXfs count="35">
    <xf numFmtId="0" fontId="0" fillId="0" borderId="0" xfId="0"/>
    <xf numFmtId="0" fontId="2" fillId="2" borderId="0" xfId="0" applyFont="1" applyFill="1" applyAlignment="1">
      <alignment vertical="top"/>
    </xf>
    <xf numFmtId="0" fontId="0" fillId="0" borderId="0" xfId="0" applyAlignment="1">
      <alignment vertical="top"/>
    </xf>
    <xf numFmtId="49" fontId="0" fillId="0" borderId="0" xfId="0" applyNumberFormat="1"/>
    <xf numFmtId="0" fontId="3" fillId="0" borderId="0" xfId="0" applyFont="1" applyAlignment="1">
      <alignment vertical="top"/>
    </xf>
    <xf numFmtId="0" fontId="4" fillId="0" borderId="0" xfId="0" applyFont="1" applyAlignment="1">
      <alignment vertical="top"/>
    </xf>
    <xf numFmtId="49" fontId="0" fillId="0" borderId="0" xfId="0" applyNumberFormat="1" applyAlignment="1">
      <alignment vertical="top"/>
    </xf>
    <xf numFmtId="0" fontId="6" fillId="0" borderId="0" xfId="0" applyFont="1" applyAlignment="1">
      <alignment vertical="top"/>
    </xf>
    <xf numFmtId="49" fontId="6" fillId="0" borderId="0" xfId="0" applyNumberFormat="1" applyFont="1"/>
    <xf numFmtId="49" fontId="0" fillId="2" borderId="0" xfId="0" applyNumberFormat="1" applyFill="1"/>
    <xf numFmtId="49" fontId="6" fillId="2" borderId="0" xfId="0" applyNumberFormat="1" applyFont="1" applyFill="1"/>
    <xf numFmtId="49" fontId="6" fillId="3" borderId="0" xfId="0" applyNumberFormat="1" applyFont="1" applyFill="1"/>
    <xf numFmtId="49" fontId="5" fillId="3" borderId="0" xfId="0" applyNumberFormat="1" applyFont="1" applyFill="1"/>
    <xf numFmtId="49" fontId="0" fillId="3" borderId="0" xfId="0" applyNumberFormat="1" applyFill="1"/>
    <xf numFmtId="49" fontId="2" fillId="2" borderId="0" xfId="0" applyNumberFormat="1" applyFont="1" applyFill="1"/>
    <xf numFmtId="49" fontId="5" fillId="3" borderId="0" xfId="0" applyNumberFormat="1" applyFont="1" applyFill="1" applyAlignment="1">
      <alignment horizontal="right"/>
    </xf>
    <xf numFmtId="49" fontId="0" fillId="4" borderId="0" xfId="0" applyNumberFormat="1" applyFill="1"/>
    <xf numFmtId="49" fontId="5" fillId="4" borderId="0" xfId="0" applyNumberFormat="1" applyFont="1" applyFill="1" applyAlignment="1">
      <alignment horizontal="right"/>
    </xf>
    <xf numFmtId="49" fontId="5" fillId="0" borderId="0" xfId="0" applyNumberFormat="1" applyFont="1" applyAlignment="1">
      <alignment horizontal="right"/>
    </xf>
    <xf numFmtId="49" fontId="0" fillId="0" borderId="0" xfId="0" applyNumberFormat="1" applyAlignment="1">
      <alignment horizontal="left"/>
    </xf>
    <xf numFmtId="0" fontId="7" fillId="2" borderId="0" xfId="0" applyFont="1" applyFill="1" applyAlignment="1">
      <alignment vertical="top"/>
    </xf>
    <xf numFmtId="0" fontId="8" fillId="0" borderId="0" xfId="0" applyFont="1" applyAlignment="1">
      <alignment vertical="top"/>
    </xf>
    <xf numFmtId="49" fontId="5" fillId="0" borderId="0" xfId="0" applyNumberFormat="1" applyFont="1" applyAlignment="1">
      <alignment horizontal="right" vertical="top"/>
    </xf>
    <xf numFmtId="49" fontId="5" fillId="0" borderId="0" xfId="0" applyNumberFormat="1" applyFont="1" applyAlignment="1">
      <alignment vertical="top"/>
    </xf>
    <xf numFmtId="49" fontId="9" fillId="2" borderId="0" xfId="0" applyNumberFormat="1" applyFont="1" applyFill="1"/>
    <xf numFmtId="0" fontId="6" fillId="0" borderId="0" xfId="0" applyFont="1" applyAlignment="1">
      <alignment vertical="top" wrapText="1"/>
    </xf>
    <xf numFmtId="0" fontId="4" fillId="0" borderId="0" xfId="0" applyFont="1" applyAlignment="1">
      <alignment horizontal="left" vertical="top"/>
    </xf>
    <xf numFmtId="49" fontId="6" fillId="0" borderId="0" xfId="0" applyNumberFormat="1" applyFont="1" applyAlignment="1">
      <alignment horizontal="left" vertical="top"/>
    </xf>
    <xf numFmtId="0" fontId="0" fillId="0" borderId="0" xfId="0" applyAlignment="1">
      <alignment horizontal="left" vertical="top"/>
    </xf>
    <xf numFmtId="164" fontId="6" fillId="0" borderId="0" xfId="0" applyNumberFormat="1" applyFont="1" applyAlignment="1">
      <alignment vertical="top"/>
    </xf>
    <xf numFmtId="164" fontId="4" fillId="0" borderId="0" xfId="0" applyNumberFormat="1" applyFont="1" applyAlignment="1">
      <alignment vertical="top"/>
    </xf>
    <xf numFmtId="164" fontId="0" fillId="0" borderId="0" xfId="0" applyNumberFormat="1" applyAlignment="1">
      <alignment vertical="top"/>
    </xf>
    <xf numFmtId="49" fontId="2" fillId="2" borderId="0" xfId="0" applyNumberFormat="1" applyFont="1" applyFill="1" applyAlignment="1">
      <alignment horizontal="left"/>
    </xf>
    <xf numFmtId="49" fontId="6" fillId="0" borderId="0" xfId="0" applyNumberFormat="1" applyFont="1" applyAlignment="1">
      <alignment horizontal="left" vertical="top" wrapText="1"/>
    </xf>
    <xf numFmtId="49" fontId="0" fillId="0" borderId="0" xfId="0" applyNumberFormat="1" applyAlignment="1">
      <alignment horizontal="left" vertical="top" wrapText="1"/>
    </xf>
  </cellXfs>
  <cellStyles count="2">
    <cellStyle name="Normal" xfId="0" builtinId="0"/>
    <cellStyle name="Normal 2" xfId="1" xr:uid="{00000000-0005-0000-0000-000001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theme" Target="theme/theme1.xml"/><Relationship Id="rId7"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sharedStrings" Target="sharedStrings.xml"/><Relationship Id="rId4" Type="http://schemas.openxmlformats.org/officeDocument/2006/relationships/styles" Target="styles.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9525</xdr:colOff>
          <xdr:row>2</xdr:row>
          <xdr:rowOff>9525</xdr:rowOff>
        </xdr:from>
        <xdr:to>
          <xdr:col>2</xdr:col>
          <xdr:colOff>0</xdr:colOff>
          <xdr:row>3</xdr:row>
          <xdr:rowOff>95250</xdr:rowOff>
        </xdr:to>
        <xdr:sp macro="" textlink="">
          <xdr:nvSpPr>
            <xdr:cNvPr id="1025" name="txtHost"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9525</xdr:colOff>
          <xdr:row>4</xdr:row>
          <xdr:rowOff>9525</xdr:rowOff>
        </xdr:from>
        <xdr:to>
          <xdr:col>2</xdr:col>
          <xdr:colOff>0</xdr:colOff>
          <xdr:row>5</xdr:row>
          <xdr:rowOff>95250</xdr:rowOff>
        </xdr:to>
        <xdr:sp macro="" textlink="">
          <xdr:nvSpPr>
            <xdr:cNvPr id="1026" name="txtPort"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9525</xdr:colOff>
          <xdr:row>6</xdr:row>
          <xdr:rowOff>0</xdr:rowOff>
        </xdr:from>
        <xdr:to>
          <xdr:col>2</xdr:col>
          <xdr:colOff>0</xdr:colOff>
          <xdr:row>7</xdr:row>
          <xdr:rowOff>85725</xdr:rowOff>
        </xdr:to>
        <xdr:sp macro="" textlink="">
          <xdr:nvSpPr>
            <xdr:cNvPr id="1027" name="txtUsername"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9525</xdr:colOff>
          <xdr:row>8</xdr:row>
          <xdr:rowOff>9525</xdr:rowOff>
        </xdr:from>
        <xdr:to>
          <xdr:col>2</xdr:col>
          <xdr:colOff>0</xdr:colOff>
          <xdr:row>9</xdr:row>
          <xdr:rowOff>95250</xdr:rowOff>
        </xdr:to>
        <xdr:sp macro="" textlink="">
          <xdr:nvSpPr>
            <xdr:cNvPr id="1028" name="txtPassword"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352425</xdr:rowOff>
        </xdr:from>
        <xdr:to>
          <xdr:col>0</xdr:col>
          <xdr:colOff>695325</xdr:colOff>
          <xdr:row>0</xdr:row>
          <xdr:rowOff>790575</xdr:rowOff>
        </xdr:to>
        <xdr:sp macro="" textlink="">
          <xdr:nvSpPr>
            <xdr:cNvPr id="20481" name="btnSubmit" hidden="1">
              <a:extLst>
                <a:ext uri="{63B3BB69-23CF-44E3-9099-C40C66FF867C}">
                  <a14:compatExt spid="_x0000_s20481"/>
                </a:ext>
                <a:ext uri="{FF2B5EF4-FFF2-40B4-BE49-F238E27FC236}">
                  <a16:creationId xmlns:a16="http://schemas.microsoft.com/office/drawing/2014/main" id="{00000000-0008-0000-01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Connect"/>
  <dimension ref="A1:Q28"/>
  <sheetViews>
    <sheetView topLeftCell="A2" workbookViewId="0">
      <selection activeCell="B25" sqref="B25"/>
    </sheetView>
  </sheetViews>
  <sheetFormatPr defaultRowHeight="12.75" x14ac:dyDescent="0.2"/>
  <cols>
    <col min="1" max="2" width="20.7109375" style="3" customWidth="1"/>
    <col min="3" max="3" width="15.7109375" style="3" customWidth="1"/>
    <col min="4" max="4" width="11.42578125" style="3" bestFit="1" customWidth="1"/>
    <col min="5" max="16384" width="9.140625" style="3"/>
  </cols>
  <sheetData>
    <row r="1" spans="1:17" s="9" customFormat="1" ht="23.25" x14ac:dyDescent="0.35">
      <c r="A1" s="14" t="s">
        <v>3</v>
      </c>
      <c r="B1" s="14"/>
      <c r="D1" s="32" t="s">
        <v>27</v>
      </c>
      <c r="E1" s="32"/>
      <c r="F1" s="32"/>
      <c r="G1" s="32"/>
      <c r="H1" s="32"/>
      <c r="I1" s="32"/>
      <c r="Q1" s="24" t="s">
        <v>46</v>
      </c>
    </row>
    <row r="2" spans="1:17" x14ac:dyDescent="0.2">
      <c r="A2" s="16"/>
      <c r="B2" s="16"/>
    </row>
    <row r="3" spans="1:17" x14ac:dyDescent="0.2">
      <c r="A3" s="17" t="s">
        <v>4</v>
      </c>
      <c r="B3" s="16"/>
      <c r="D3" s="3" t="s">
        <v>25</v>
      </c>
    </row>
    <row r="4" spans="1:17" x14ac:dyDescent="0.2">
      <c r="A4" s="17"/>
      <c r="B4" s="16"/>
      <c r="D4" s="3" t="s">
        <v>26</v>
      </c>
    </row>
    <row r="5" spans="1:17" x14ac:dyDescent="0.2">
      <c r="A5" s="17" t="s">
        <v>5</v>
      </c>
      <c r="B5" s="16"/>
      <c r="D5" s="3" t="s">
        <v>20</v>
      </c>
    </row>
    <row r="6" spans="1:17" x14ac:dyDescent="0.2">
      <c r="A6" s="17"/>
      <c r="B6" s="16"/>
      <c r="D6" s="3" t="s">
        <v>21</v>
      </c>
    </row>
    <row r="7" spans="1:17" x14ac:dyDescent="0.2">
      <c r="A7" s="17" t="s">
        <v>6</v>
      </c>
      <c r="B7" s="16"/>
    </row>
    <row r="8" spans="1:17" x14ac:dyDescent="0.2">
      <c r="A8" s="17"/>
      <c r="B8" s="16"/>
    </row>
    <row r="9" spans="1:17" x14ac:dyDescent="0.2">
      <c r="A9" s="17" t="s">
        <v>7</v>
      </c>
      <c r="B9" s="16"/>
    </row>
    <row r="10" spans="1:17" x14ac:dyDescent="0.2">
      <c r="A10" s="16"/>
      <c r="B10" s="16"/>
    </row>
    <row r="11" spans="1:17" x14ac:dyDescent="0.2">
      <c r="E11" s="8"/>
    </row>
    <row r="12" spans="1:17" s="9" customFormat="1" ht="23.25" x14ac:dyDescent="0.35">
      <c r="A12" s="14" t="s">
        <v>12</v>
      </c>
      <c r="B12" s="14"/>
      <c r="E12" s="10"/>
    </row>
    <row r="13" spans="1:17" s="12" customFormat="1" x14ac:dyDescent="0.2">
      <c r="B13" s="12" t="s">
        <v>11</v>
      </c>
      <c r="D13" s="12" t="s">
        <v>43</v>
      </c>
      <c r="E13" s="11"/>
    </row>
    <row r="14" spans="1:17" x14ac:dyDescent="0.2">
      <c r="A14" s="18"/>
      <c r="B14" s="8" t="s">
        <v>13</v>
      </c>
      <c r="D14" s="3" t="s">
        <v>29</v>
      </c>
      <c r="E14" s="3" t="s">
        <v>30</v>
      </c>
    </row>
    <row r="15" spans="1:17" x14ac:dyDescent="0.2">
      <c r="A15" s="18"/>
      <c r="B15" s="8" t="s">
        <v>14</v>
      </c>
      <c r="D15" s="3" t="s">
        <v>31</v>
      </c>
      <c r="E15" s="3" t="s">
        <v>32</v>
      </c>
    </row>
    <row r="16" spans="1:17" x14ac:dyDescent="0.2">
      <c r="A16" s="18"/>
      <c r="B16" s="8" t="s">
        <v>15</v>
      </c>
      <c r="D16" s="3" t="s">
        <v>44</v>
      </c>
      <c r="E16" s="3" t="s">
        <v>45</v>
      </c>
    </row>
    <row r="17" spans="1:10" x14ac:dyDescent="0.2">
      <c r="A17" s="18"/>
      <c r="B17" s="8" t="s">
        <v>16</v>
      </c>
      <c r="D17" s="3" t="s">
        <v>33</v>
      </c>
      <c r="E17" s="3" t="s">
        <v>34</v>
      </c>
    </row>
    <row r="18" spans="1:10" x14ac:dyDescent="0.2">
      <c r="A18" s="18"/>
      <c r="B18" s="8" t="s">
        <v>18</v>
      </c>
      <c r="C18" s="19"/>
      <c r="D18" s="3" t="s">
        <v>35</v>
      </c>
      <c r="E18" s="3" t="s">
        <v>36</v>
      </c>
    </row>
    <row r="19" spans="1:10" x14ac:dyDescent="0.2">
      <c r="B19" s="8" t="s">
        <v>17</v>
      </c>
      <c r="C19" s="19"/>
      <c r="D19" s="3" t="s">
        <v>37</v>
      </c>
      <c r="E19" s="3" t="s">
        <v>38</v>
      </c>
    </row>
    <row r="20" spans="1:10" x14ac:dyDescent="0.2">
      <c r="B20" s="3" t="s">
        <v>9</v>
      </c>
      <c r="C20" s="19"/>
      <c r="D20" s="3" t="s">
        <v>39</v>
      </c>
      <c r="E20" s="3" t="s">
        <v>40</v>
      </c>
    </row>
    <row r="21" spans="1:10" x14ac:dyDescent="0.2">
      <c r="B21" s="3" t="s">
        <v>10</v>
      </c>
      <c r="C21" s="19"/>
      <c r="D21" s="3" t="s">
        <v>41</v>
      </c>
      <c r="E21" s="3" t="s">
        <v>42</v>
      </c>
    </row>
    <row r="22" spans="1:10" x14ac:dyDescent="0.2">
      <c r="C22" s="19"/>
      <c r="E22" s="8"/>
    </row>
    <row r="23" spans="1:10" s="9" customFormat="1" ht="23.25" x14ac:dyDescent="0.35">
      <c r="A23" s="14" t="s">
        <v>19</v>
      </c>
      <c r="B23" s="14"/>
      <c r="E23" s="10"/>
    </row>
    <row r="24" spans="1:10" s="13" customFormat="1" x14ac:dyDescent="0.2">
      <c r="A24" s="15"/>
      <c r="B24" s="12" t="s">
        <v>0</v>
      </c>
      <c r="D24" s="12" t="s">
        <v>28</v>
      </c>
      <c r="E24" s="11"/>
    </row>
    <row r="25" spans="1:10" s="6" customFormat="1" ht="103.5" customHeight="1" x14ac:dyDescent="0.2">
      <c r="A25" s="22"/>
      <c r="B25" s="23" t="s">
        <v>94</v>
      </c>
      <c r="D25" s="33" t="s">
        <v>50</v>
      </c>
      <c r="E25" s="34"/>
      <c r="F25" s="34"/>
      <c r="G25" s="34"/>
      <c r="H25" s="34"/>
      <c r="I25" s="34"/>
      <c r="J25" s="34"/>
    </row>
    <row r="27" spans="1:10" s="9" customFormat="1" ht="23.25" x14ac:dyDescent="0.35">
      <c r="A27" s="14" t="s">
        <v>22</v>
      </c>
      <c r="B27" s="14"/>
      <c r="E27" s="10"/>
    </row>
    <row r="28" spans="1:10" s="13" customFormat="1" x14ac:dyDescent="0.2">
      <c r="A28" s="15"/>
      <c r="B28" s="12" t="s">
        <v>23</v>
      </c>
      <c r="C28" s="12" t="s">
        <v>24</v>
      </c>
      <c r="D28" s="12" t="s">
        <v>28</v>
      </c>
      <c r="E28" s="11"/>
    </row>
  </sheetData>
  <mergeCells count="2">
    <mergeCell ref="D1:I1"/>
    <mergeCell ref="D25:J25"/>
  </mergeCells>
  <phoneticPr fontId="1" type="noConversion"/>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1025" r:id="rId4" name="txtHost">
          <controlPr defaultSize="0" autoLine="0" r:id="rId5">
            <anchor>
              <from>
                <xdr:col>1</xdr:col>
                <xdr:colOff>9525</xdr:colOff>
                <xdr:row>2</xdr:row>
                <xdr:rowOff>9525</xdr:rowOff>
              </from>
              <to>
                <xdr:col>2</xdr:col>
                <xdr:colOff>0</xdr:colOff>
                <xdr:row>3</xdr:row>
                <xdr:rowOff>95250</xdr:rowOff>
              </to>
            </anchor>
          </controlPr>
        </control>
      </mc:Choice>
      <mc:Fallback>
        <control shapeId="1025" r:id="rId4" name="txtHost"/>
      </mc:Fallback>
    </mc:AlternateContent>
    <mc:AlternateContent xmlns:mc="http://schemas.openxmlformats.org/markup-compatibility/2006">
      <mc:Choice Requires="x14">
        <control shapeId="1026" r:id="rId6" name="txtPort">
          <controlPr defaultSize="0" autoLine="0" r:id="rId7">
            <anchor>
              <from>
                <xdr:col>1</xdr:col>
                <xdr:colOff>9525</xdr:colOff>
                <xdr:row>4</xdr:row>
                <xdr:rowOff>9525</xdr:rowOff>
              </from>
              <to>
                <xdr:col>2</xdr:col>
                <xdr:colOff>0</xdr:colOff>
                <xdr:row>5</xdr:row>
                <xdr:rowOff>95250</xdr:rowOff>
              </to>
            </anchor>
          </controlPr>
        </control>
      </mc:Choice>
      <mc:Fallback>
        <control shapeId="1026" r:id="rId6" name="txtPort"/>
      </mc:Fallback>
    </mc:AlternateContent>
    <mc:AlternateContent xmlns:mc="http://schemas.openxmlformats.org/markup-compatibility/2006">
      <mc:Choice Requires="x14">
        <control shapeId="1027" r:id="rId8" name="txtUsername">
          <controlPr defaultSize="0" autoLine="0" r:id="rId9">
            <anchor>
              <from>
                <xdr:col>1</xdr:col>
                <xdr:colOff>9525</xdr:colOff>
                <xdr:row>6</xdr:row>
                <xdr:rowOff>0</xdr:rowOff>
              </from>
              <to>
                <xdr:col>2</xdr:col>
                <xdr:colOff>0</xdr:colOff>
                <xdr:row>7</xdr:row>
                <xdr:rowOff>85725</xdr:rowOff>
              </to>
            </anchor>
          </controlPr>
        </control>
      </mc:Choice>
      <mc:Fallback>
        <control shapeId="1027" r:id="rId8" name="txtUsername"/>
      </mc:Fallback>
    </mc:AlternateContent>
    <mc:AlternateContent xmlns:mc="http://schemas.openxmlformats.org/markup-compatibility/2006">
      <mc:Choice Requires="x14">
        <control shapeId="1028" r:id="rId10" name="txtPassword">
          <controlPr defaultSize="0" autoLine="0" r:id="rId11">
            <anchor>
              <from>
                <xdr:col>1</xdr:col>
                <xdr:colOff>9525</xdr:colOff>
                <xdr:row>8</xdr:row>
                <xdr:rowOff>9525</xdr:rowOff>
              </from>
              <to>
                <xdr:col>2</xdr:col>
                <xdr:colOff>0</xdr:colOff>
                <xdr:row>9</xdr:row>
                <xdr:rowOff>95250</xdr:rowOff>
              </to>
            </anchor>
          </controlPr>
        </control>
      </mc:Choice>
      <mc:Fallback>
        <control shapeId="1028" r:id="rId10" name="txtPassword"/>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ummaryTableDef"/>
  <dimension ref="A1:V126"/>
  <sheetViews>
    <sheetView tabSelected="1" zoomScale="55" zoomScaleNormal="55" workbookViewId="0">
      <pane xSplit="3" ySplit="2" topLeftCell="D5" activePane="bottomRight" state="frozen"/>
      <selection pane="topRight" activeCell="D1" sqref="D1"/>
      <selection pane="bottomLeft" activeCell="A3" sqref="A3"/>
      <selection pane="bottomRight" activeCell="E5" sqref="E5"/>
    </sheetView>
  </sheetViews>
  <sheetFormatPr defaultRowHeight="12.75" x14ac:dyDescent="0.2"/>
  <cols>
    <col min="1" max="1" width="18.5703125" style="2" customWidth="1"/>
    <col min="2" max="2" width="78.42578125" style="2" bestFit="1" customWidth="1"/>
    <col min="3" max="3" width="38.85546875" style="2" bestFit="1" customWidth="1"/>
    <col min="4" max="4" width="12.7109375" style="2" bestFit="1" customWidth="1"/>
    <col min="5" max="5" width="157.85546875" style="2" customWidth="1"/>
    <col min="6" max="6" width="20.5703125" style="2" customWidth="1"/>
    <col min="7" max="7" width="23.7109375" style="2" customWidth="1"/>
    <col min="8" max="8" width="21.42578125" style="28" customWidth="1"/>
    <col min="9" max="9" width="23.28515625" style="28" customWidth="1"/>
    <col min="10" max="10" width="17.7109375" style="28" customWidth="1"/>
    <col min="11" max="11" width="20.42578125" style="28" customWidth="1"/>
    <col min="12" max="12" width="22.42578125" style="28" customWidth="1"/>
    <col min="13" max="13" width="9.140625" style="28"/>
    <col min="14" max="14" width="20.7109375" style="31" customWidth="1"/>
    <col min="15" max="15" width="12.28515625" style="31" bestFit="1" customWidth="1"/>
    <col min="16" max="16" width="21.85546875" style="31" customWidth="1"/>
    <col min="17" max="17" width="12.28515625" style="31" bestFit="1" customWidth="1"/>
    <col min="18" max="18" width="35.7109375" style="2" customWidth="1"/>
    <col min="19" max="19" width="28.85546875" style="2" customWidth="1"/>
    <col min="20" max="20" width="17.5703125" style="2" customWidth="1"/>
    <col min="21" max="21" width="31.42578125" style="2" customWidth="1"/>
    <col min="22" max="22" width="24.28515625" style="2" customWidth="1"/>
    <col min="23" max="16384" width="9.140625" style="2"/>
  </cols>
  <sheetData>
    <row r="1" spans="1:22" ht="69.75" customHeight="1" x14ac:dyDescent="0.2">
      <c r="A1" s="20" t="s">
        <v>49</v>
      </c>
      <c r="B1" s="1"/>
      <c r="H1" s="27" t="s">
        <v>58</v>
      </c>
      <c r="I1" s="27" t="s">
        <v>58</v>
      </c>
      <c r="J1" s="27" t="s">
        <v>58</v>
      </c>
      <c r="K1" s="27" t="s">
        <v>58</v>
      </c>
      <c r="L1" s="27" t="s">
        <v>58</v>
      </c>
      <c r="M1" s="27" t="s">
        <v>58</v>
      </c>
      <c r="N1" s="29" t="s">
        <v>65</v>
      </c>
      <c r="O1" s="29" t="s">
        <v>65</v>
      </c>
      <c r="P1" s="29" t="s">
        <v>65</v>
      </c>
      <c r="Q1" s="29" t="s">
        <v>65</v>
      </c>
    </row>
    <row r="2" spans="1:22" s="5" customFormat="1" ht="15.75" x14ac:dyDescent="0.2">
      <c r="A2" s="4" t="s">
        <v>8</v>
      </c>
      <c r="B2" s="5" t="s">
        <v>2</v>
      </c>
      <c r="C2" s="4" t="s">
        <v>0</v>
      </c>
      <c r="D2" s="5" t="s">
        <v>1</v>
      </c>
      <c r="E2" s="4" t="s">
        <v>51</v>
      </c>
      <c r="F2" s="5" t="s">
        <v>52</v>
      </c>
      <c r="G2" s="4" t="s">
        <v>53</v>
      </c>
      <c r="H2" s="26" t="s">
        <v>57</v>
      </c>
      <c r="I2" s="26" t="s">
        <v>55</v>
      </c>
      <c r="J2" s="26" t="s">
        <v>56</v>
      </c>
      <c r="K2" s="26" t="s">
        <v>59</v>
      </c>
      <c r="L2" s="26" t="s">
        <v>60</v>
      </c>
      <c r="M2" s="26" t="s">
        <v>54</v>
      </c>
      <c r="N2" s="30" t="s">
        <v>61</v>
      </c>
      <c r="O2" s="30" t="s">
        <v>62</v>
      </c>
      <c r="P2" s="30" t="s">
        <v>63</v>
      </c>
      <c r="Q2" s="30" t="s">
        <v>64</v>
      </c>
      <c r="R2" s="5" t="s">
        <v>67</v>
      </c>
      <c r="S2" s="5" t="s">
        <v>68</v>
      </c>
      <c r="T2" s="5" t="s">
        <v>69</v>
      </c>
      <c r="U2" s="26" t="s">
        <v>70</v>
      </c>
      <c r="V2" s="5" t="s">
        <v>71</v>
      </c>
    </row>
    <row r="3" spans="1:22" ht="409.5" x14ac:dyDescent="0.2">
      <c r="A3" s="21" t="s">
        <v>15</v>
      </c>
      <c r="B3" s="21"/>
      <c r="C3" s="7" t="s">
        <v>95</v>
      </c>
      <c r="D3" s="2" t="s">
        <v>47</v>
      </c>
      <c r="E3" s="25" t="s">
        <v>48</v>
      </c>
      <c r="G3" s="7" t="s">
        <v>95</v>
      </c>
      <c r="L3" s="28" t="b">
        <v>1</v>
      </c>
      <c r="P3" s="29">
        <v>45702.131944444445</v>
      </c>
      <c r="Q3" s="29">
        <v>45706.545138888891</v>
      </c>
      <c r="T3" s="7" t="s">
        <v>66</v>
      </c>
      <c r="V3" s="7"/>
    </row>
    <row r="4" spans="1:22" ht="153" x14ac:dyDescent="0.2">
      <c r="A4" s="21" t="s">
        <v>15</v>
      </c>
      <c r="B4" s="21"/>
      <c r="C4" s="7" t="s">
        <v>96</v>
      </c>
      <c r="D4" s="2" t="s">
        <v>75</v>
      </c>
      <c r="E4" s="25" t="s">
        <v>73</v>
      </c>
      <c r="G4" s="7" t="s">
        <v>96</v>
      </c>
      <c r="M4" s="28" t="b">
        <v>1</v>
      </c>
      <c r="T4" s="2" t="s">
        <v>72</v>
      </c>
    </row>
    <row r="5" spans="1:22" ht="409.5" x14ac:dyDescent="0.2">
      <c r="A5" s="21" t="s">
        <v>15</v>
      </c>
      <c r="B5" s="21"/>
      <c r="C5" s="7" t="s">
        <v>97</v>
      </c>
      <c r="D5" s="2" t="s">
        <v>74</v>
      </c>
      <c r="E5" s="25" t="s">
        <v>107</v>
      </c>
      <c r="G5" s="7" t="s">
        <v>97</v>
      </c>
      <c r="M5" s="28" t="b">
        <v>1</v>
      </c>
      <c r="T5" s="2" t="s">
        <v>72</v>
      </c>
    </row>
    <row r="6" spans="1:22" ht="369.75" x14ac:dyDescent="0.2">
      <c r="A6" s="21" t="s">
        <v>15</v>
      </c>
      <c r="B6" s="21"/>
      <c r="C6" s="7" t="s">
        <v>98</v>
      </c>
      <c r="D6" s="7" t="s">
        <v>76</v>
      </c>
      <c r="E6" s="25" t="s">
        <v>77</v>
      </c>
      <c r="G6" s="7" t="s">
        <v>98</v>
      </c>
      <c r="H6" s="28" t="b">
        <v>1</v>
      </c>
      <c r="L6" s="28" t="b">
        <v>1</v>
      </c>
      <c r="T6" s="7" t="s">
        <v>66</v>
      </c>
    </row>
    <row r="7" spans="1:22" ht="51" x14ac:dyDescent="0.2">
      <c r="A7" s="21" t="s">
        <v>15</v>
      </c>
      <c r="B7" s="21"/>
      <c r="C7" s="7" t="s">
        <v>99</v>
      </c>
      <c r="D7" s="2" t="s">
        <v>78</v>
      </c>
      <c r="E7" s="25" t="s">
        <v>79</v>
      </c>
      <c r="G7" s="7" t="s">
        <v>99</v>
      </c>
      <c r="M7" s="28" t="b">
        <v>1</v>
      </c>
      <c r="T7" s="2" t="s">
        <v>72</v>
      </c>
    </row>
    <row r="8" spans="1:22" ht="229.5" x14ac:dyDescent="0.2">
      <c r="A8" s="21" t="s">
        <v>15</v>
      </c>
      <c r="B8" s="21"/>
      <c r="C8" s="7" t="s">
        <v>100</v>
      </c>
      <c r="D8" s="2" t="s">
        <v>80</v>
      </c>
      <c r="E8" s="25" t="s">
        <v>81</v>
      </c>
      <c r="G8" s="7" t="s">
        <v>100</v>
      </c>
      <c r="M8" s="28" t="b">
        <v>1</v>
      </c>
      <c r="T8" s="2" t="s">
        <v>72</v>
      </c>
    </row>
    <row r="9" spans="1:22" ht="409.5" x14ac:dyDescent="0.2">
      <c r="A9" s="21" t="s">
        <v>15</v>
      </c>
      <c r="B9" s="21"/>
      <c r="C9" s="7" t="s">
        <v>101</v>
      </c>
      <c r="D9" s="2" t="s">
        <v>82</v>
      </c>
      <c r="E9" s="25" t="s">
        <v>83</v>
      </c>
      <c r="G9" s="7" t="s">
        <v>101</v>
      </c>
      <c r="M9" s="28" t="b">
        <v>1</v>
      </c>
      <c r="T9" s="2" t="s">
        <v>72</v>
      </c>
    </row>
    <row r="10" spans="1:22" ht="409.5" x14ac:dyDescent="0.2">
      <c r="A10" s="21" t="s">
        <v>15</v>
      </c>
      <c r="B10" s="21"/>
      <c r="C10" s="7" t="s">
        <v>102</v>
      </c>
      <c r="D10" s="2" t="s">
        <v>84</v>
      </c>
      <c r="E10" s="25" t="s">
        <v>85</v>
      </c>
      <c r="G10" s="7" t="s">
        <v>102</v>
      </c>
      <c r="H10" s="28" t="b">
        <v>1</v>
      </c>
      <c r="K10" s="28" t="b">
        <v>1</v>
      </c>
      <c r="L10" s="28" t="b">
        <v>1</v>
      </c>
      <c r="P10" s="29">
        <v>45702.131944444445</v>
      </c>
      <c r="Q10" s="29">
        <v>45706.545138888891</v>
      </c>
      <c r="T10" s="7" t="s">
        <v>66</v>
      </c>
    </row>
    <row r="11" spans="1:22" ht="409.5" x14ac:dyDescent="0.2">
      <c r="A11" s="21" t="s">
        <v>15</v>
      </c>
      <c r="B11" s="21"/>
      <c r="C11" s="7" t="s">
        <v>103</v>
      </c>
      <c r="D11" s="2" t="s">
        <v>86</v>
      </c>
      <c r="E11" s="25" t="s">
        <v>87</v>
      </c>
      <c r="G11" s="7" t="s">
        <v>103</v>
      </c>
      <c r="H11" s="28" t="b">
        <v>1</v>
      </c>
      <c r="L11" s="28" t="b">
        <v>1</v>
      </c>
      <c r="P11" s="31">
        <v>44173</v>
      </c>
      <c r="T11" s="2" t="s">
        <v>66</v>
      </c>
    </row>
    <row r="12" spans="1:22" ht="409.5" x14ac:dyDescent="0.2">
      <c r="A12" s="21" t="s">
        <v>15</v>
      </c>
      <c r="B12" s="21"/>
      <c r="C12" s="7" t="s">
        <v>104</v>
      </c>
      <c r="D12" s="7" t="s">
        <v>88</v>
      </c>
      <c r="E12" s="25" t="s">
        <v>89</v>
      </c>
      <c r="G12" s="7" t="s">
        <v>104</v>
      </c>
      <c r="L12" s="28" t="b">
        <v>1</v>
      </c>
      <c r="T12" s="7" t="s">
        <v>66</v>
      </c>
    </row>
    <row r="13" spans="1:22" ht="408" x14ac:dyDescent="0.2">
      <c r="A13" s="21" t="s">
        <v>15</v>
      </c>
      <c r="B13" s="21"/>
      <c r="C13" s="7" t="s">
        <v>105</v>
      </c>
      <c r="D13" s="7" t="s">
        <v>90</v>
      </c>
      <c r="E13" s="25" t="s">
        <v>91</v>
      </c>
      <c r="G13" s="7" t="s">
        <v>105</v>
      </c>
      <c r="M13" s="28" t="b">
        <v>1</v>
      </c>
      <c r="T13" s="7" t="s">
        <v>72</v>
      </c>
    </row>
    <row r="14" spans="1:22" ht="408" x14ac:dyDescent="0.2">
      <c r="A14" s="21" t="s">
        <v>15</v>
      </c>
      <c r="B14" s="21"/>
      <c r="C14" s="7" t="s">
        <v>106</v>
      </c>
      <c r="D14" s="7" t="s">
        <v>92</v>
      </c>
      <c r="E14" s="25" t="s">
        <v>93</v>
      </c>
      <c r="G14" s="7" t="s">
        <v>106</v>
      </c>
      <c r="M14" s="28" t="b">
        <v>1</v>
      </c>
      <c r="T14" s="7" t="s">
        <v>72</v>
      </c>
    </row>
    <row r="15" spans="1:22" x14ac:dyDescent="0.2">
      <c r="A15" s="21"/>
      <c r="B15" s="21"/>
      <c r="C15" s="7"/>
    </row>
    <row r="16" spans="1:22" x14ac:dyDescent="0.2">
      <c r="A16" s="21"/>
      <c r="B16" s="21"/>
      <c r="C16" s="7"/>
    </row>
    <row r="17" spans="1:3" x14ac:dyDescent="0.2">
      <c r="A17" s="21"/>
      <c r="B17" s="21"/>
      <c r="C17" s="7"/>
    </row>
    <row r="18" spans="1:3" x14ac:dyDescent="0.2">
      <c r="A18" s="21"/>
      <c r="B18" s="21"/>
      <c r="C18" s="7"/>
    </row>
    <row r="19" spans="1:3" x14ac:dyDescent="0.2">
      <c r="A19" s="21"/>
      <c r="B19" s="21"/>
      <c r="C19" s="7"/>
    </row>
    <row r="20" spans="1:3" x14ac:dyDescent="0.2">
      <c r="A20" s="21"/>
      <c r="B20" s="21"/>
      <c r="C20" s="7"/>
    </row>
    <row r="21" spans="1:3" x14ac:dyDescent="0.2">
      <c r="A21" s="21"/>
      <c r="B21" s="21"/>
      <c r="C21" s="7"/>
    </row>
    <row r="22" spans="1:3" x14ac:dyDescent="0.2">
      <c r="A22" s="21"/>
      <c r="B22" s="21"/>
      <c r="C22" s="7"/>
    </row>
    <row r="23" spans="1:3" x14ac:dyDescent="0.2">
      <c r="A23" s="21"/>
      <c r="B23" s="21"/>
      <c r="C23" s="7"/>
    </row>
    <row r="24" spans="1:3" x14ac:dyDescent="0.2">
      <c r="A24" s="21"/>
      <c r="B24" s="21"/>
      <c r="C24" s="7"/>
    </row>
    <row r="25" spans="1:3" x14ac:dyDescent="0.2">
      <c r="A25" s="21"/>
      <c r="B25" s="21"/>
      <c r="C25" s="7"/>
    </row>
    <row r="26" spans="1:3" x14ac:dyDescent="0.2">
      <c r="A26" s="21"/>
      <c r="B26" s="21"/>
      <c r="C26" s="7"/>
    </row>
    <row r="27" spans="1:3" x14ac:dyDescent="0.2">
      <c r="A27" s="21"/>
      <c r="B27" s="21"/>
      <c r="C27" s="7"/>
    </row>
    <row r="28" spans="1:3" x14ac:dyDescent="0.2">
      <c r="A28" s="21"/>
      <c r="B28" s="21"/>
      <c r="C28" s="7"/>
    </row>
    <row r="29" spans="1:3" x14ac:dyDescent="0.2">
      <c r="A29" s="21"/>
      <c r="B29" s="21"/>
      <c r="C29" s="7"/>
    </row>
    <row r="30" spans="1:3" x14ac:dyDescent="0.2">
      <c r="A30" s="21"/>
      <c r="B30" s="21"/>
      <c r="C30" s="7"/>
    </row>
    <row r="31" spans="1:3" x14ac:dyDescent="0.2">
      <c r="A31" s="21"/>
      <c r="B31" s="21"/>
      <c r="C31" s="7"/>
    </row>
    <row r="32" spans="1:3" x14ac:dyDescent="0.2">
      <c r="A32" s="21"/>
      <c r="B32" s="21"/>
      <c r="C32" s="7"/>
    </row>
    <row r="33" spans="1:5" x14ac:dyDescent="0.2">
      <c r="A33" s="21"/>
      <c r="B33" s="21"/>
      <c r="C33" s="7"/>
      <c r="E33" s="7"/>
    </row>
    <row r="34" spans="1:5" x14ac:dyDescent="0.2">
      <c r="A34" s="21"/>
      <c r="B34" s="21"/>
      <c r="C34" s="7"/>
    </row>
    <row r="35" spans="1:5" x14ac:dyDescent="0.2">
      <c r="A35" s="21"/>
      <c r="B35" s="21"/>
      <c r="C35" s="7"/>
    </row>
    <row r="36" spans="1:5" x14ac:dyDescent="0.2">
      <c r="A36" s="21"/>
      <c r="B36" s="21"/>
      <c r="C36" s="7"/>
    </row>
    <row r="37" spans="1:5" x14ac:dyDescent="0.2">
      <c r="A37" s="21"/>
      <c r="B37" s="21"/>
      <c r="C37" s="7"/>
    </row>
    <row r="38" spans="1:5" x14ac:dyDescent="0.2">
      <c r="A38" s="21"/>
      <c r="B38" s="21"/>
      <c r="C38" s="7"/>
    </row>
    <row r="39" spans="1:5" x14ac:dyDescent="0.2">
      <c r="A39" s="21"/>
      <c r="B39" s="21"/>
      <c r="C39" s="7"/>
    </row>
    <row r="40" spans="1:5" x14ac:dyDescent="0.2">
      <c r="A40" s="21"/>
      <c r="B40" s="21"/>
      <c r="C40" s="7"/>
    </row>
    <row r="41" spans="1:5" x14ac:dyDescent="0.2">
      <c r="A41" s="21"/>
      <c r="B41" s="21"/>
      <c r="C41" s="7"/>
    </row>
    <row r="42" spans="1:5" x14ac:dyDescent="0.2">
      <c r="A42" s="21"/>
      <c r="B42" s="21"/>
      <c r="C42" s="7"/>
    </row>
    <row r="43" spans="1:5" x14ac:dyDescent="0.2">
      <c r="A43" s="21"/>
      <c r="B43" s="21"/>
      <c r="C43" s="7"/>
    </row>
    <row r="44" spans="1:5" x14ac:dyDescent="0.2">
      <c r="A44" s="21"/>
      <c r="B44" s="21"/>
      <c r="C44" s="7"/>
    </row>
    <row r="45" spans="1:5" x14ac:dyDescent="0.2">
      <c r="A45" s="21"/>
      <c r="B45" s="21"/>
      <c r="C45" s="7"/>
    </row>
    <row r="46" spans="1:5" x14ac:dyDescent="0.2">
      <c r="A46" s="21"/>
      <c r="B46" s="21"/>
      <c r="C46" s="7"/>
    </row>
    <row r="47" spans="1:5" x14ac:dyDescent="0.2">
      <c r="A47" s="21"/>
      <c r="B47" s="21"/>
      <c r="C47" s="7"/>
    </row>
    <row r="48" spans="1:5" x14ac:dyDescent="0.2">
      <c r="A48" s="21"/>
      <c r="B48" s="21"/>
      <c r="C48" s="7"/>
    </row>
    <row r="49" spans="1:3" x14ac:dyDescent="0.2">
      <c r="A49" s="21"/>
      <c r="B49" s="21"/>
      <c r="C49" s="7"/>
    </row>
    <row r="50" spans="1:3" x14ac:dyDescent="0.2">
      <c r="A50" s="21"/>
      <c r="B50" s="21"/>
      <c r="C50" s="7"/>
    </row>
    <row r="51" spans="1:3" x14ac:dyDescent="0.2">
      <c r="A51" s="21"/>
      <c r="B51" s="21"/>
      <c r="C51" s="7"/>
    </row>
    <row r="52" spans="1:3" x14ac:dyDescent="0.2">
      <c r="A52" s="21"/>
      <c r="B52" s="21"/>
      <c r="C52" s="7"/>
    </row>
    <row r="53" spans="1:3" x14ac:dyDescent="0.2">
      <c r="A53" s="21"/>
      <c r="B53" s="21"/>
      <c r="C53" s="7"/>
    </row>
    <row r="54" spans="1:3" x14ac:dyDescent="0.2">
      <c r="A54" s="21"/>
      <c r="B54" s="21"/>
      <c r="C54" s="7"/>
    </row>
    <row r="55" spans="1:3" x14ac:dyDescent="0.2">
      <c r="A55" s="21"/>
      <c r="B55" s="21"/>
      <c r="C55" s="7"/>
    </row>
    <row r="56" spans="1:3" x14ac:dyDescent="0.2">
      <c r="A56" s="21"/>
      <c r="B56" s="21"/>
      <c r="C56" s="7"/>
    </row>
    <row r="57" spans="1:3" x14ac:dyDescent="0.2">
      <c r="A57" s="21"/>
      <c r="B57" s="21"/>
      <c r="C57" s="7"/>
    </row>
    <row r="58" spans="1:3" x14ac:dyDescent="0.2">
      <c r="A58" s="21"/>
      <c r="B58" s="21"/>
      <c r="C58" s="7"/>
    </row>
    <row r="59" spans="1:3" x14ac:dyDescent="0.2">
      <c r="A59" s="21"/>
      <c r="B59" s="21"/>
      <c r="C59" s="7"/>
    </row>
    <row r="60" spans="1:3" x14ac:dyDescent="0.2">
      <c r="A60" s="21"/>
      <c r="B60" s="21"/>
      <c r="C60" s="7"/>
    </row>
    <row r="61" spans="1:3" x14ac:dyDescent="0.2">
      <c r="A61" s="21"/>
      <c r="B61" s="21"/>
      <c r="C61" s="7"/>
    </row>
    <row r="62" spans="1:3" x14ac:dyDescent="0.2">
      <c r="A62" s="21"/>
      <c r="B62" s="21"/>
      <c r="C62" s="7"/>
    </row>
    <row r="63" spans="1:3" x14ac:dyDescent="0.2">
      <c r="A63" s="21"/>
      <c r="B63" s="21"/>
      <c r="C63" s="7"/>
    </row>
    <row r="64" spans="1:3" x14ac:dyDescent="0.2">
      <c r="A64" s="21"/>
      <c r="B64" s="21"/>
      <c r="C64" s="7"/>
    </row>
    <row r="65" spans="1:5" x14ac:dyDescent="0.2">
      <c r="A65" s="21"/>
      <c r="B65" s="21"/>
      <c r="C65" s="7"/>
    </row>
    <row r="66" spans="1:5" x14ac:dyDescent="0.2">
      <c r="A66" s="21"/>
      <c r="B66" s="21"/>
      <c r="C66" s="7"/>
    </row>
    <row r="67" spans="1:5" x14ac:dyDescent="0.2">
      <c r="A67" s="21"/>
      <c r="B67" s="21"/>
      <c r="C67" s="7"/>
    </row>
    <row r="68" spans="1:5" x14ac:dyDescent="0.2">
      <c r="A68" s="21"/>
      <c r="B68" s="21"/>
      <c r="C68" s="7"/>
    </row>
    <row r="69" spans="1:5" x14ac:dyDescent="0.2">
      <c r="A69" s="21"/>
      <c r="B69" s="21"/>
      <c r="C69" s="7"/>
    </row>
    <row r="70" spans="1:5" x14ac:dyDescent="0.2">
      <c r="A70" s="21"/>
      <c r="B70" s="21"/>
      <c r="C70" s="7"/>
    </row>
    <row r="71" spans="1:5" x14ac:dyDescent="0.2">
      <c r="A71" s="21"/>
      <c r="B71" s="21"/>
      <c r="C71" s="7"/>
    </row>
    <row r="72" spans="1:5" x14ac:dyDescent="0.2">
      <c r="A72" s="21"/>
      <c r="B72" s="21"/>
      <c r="C72" s="7"/>
    </row>
    <row r="73" spans="1:5" x14ac:dyDescent="0.2">
      <c r="A73" s="21"/>
      <c r="B73" s="21"/>
      <c r="C73" s="7"/>
      <c r="E73" s="7"/>
    </row>
    <row r="74" spans="1:5" x14ac:dyDescent="0.2">
      <c r="A74" s="21"/>
      <c r="B74" s="21"/>
      <c r="C74" s="7"/>
      <c r="E74" s="7"/>
    </row>
    <row r="75" spans="1:5" x14ac:dyDescent="0.2">
      <c r="A75" s="21"/>
      <c r="B75" s="21"/>
      <c r="C75" s="7"/>
    </row>
    <row r="76" spans="1:5" x14ac:dyDescent="0.2">
      <c r="A76" s="21"/>
      <c r="B76" s="21"/>
      <c r="C76" s="7"/>
    </row>
    <row r="77" spans="1:5" x14ac:dyDescent="0.2">
      <c r="A77" s="21"/>
      <c r="B77" s="21"/>
      <c r="C77" s="7"/>
    </row>
    <row r="78" spans="1:5" x14ac:dyDescent="0.2">
      <c r="A78" s="21"/>
      <c r="B78" s="21"/>
      <c r="C78" s="7"/>
    </row>
    <row r="79" spans="1:5" x14ac:dyDescent="0.2">
      <c r="A79" s="21"/>
      <c r="B79" s="21"/>
      <c r="C79" s="7"/>
    </row>
    <row r="80" spans="1:5" x14ac:dyDescent="0.2">
      <c r="A80" s="21"/>
      <c r="B80" s="21"/>
      <c r="C80" s="7"/>
    </row>
    <row r="81" spans="1:5" x14ac:dyDescent="0.2">
      <c r="A81" s="21"/>
      <c r="B81" s="21"/>
      <c r="C81" s="7"/>
    </row>
    <row r="82" spans="1:5" x14ac:dyDescent="0.2">
      <c r="A82" s="21"/>
      <c r="B82" s="21"/>
      <c r="C82" s="7"/>
    </row>
    <row r="83" spans="1:5" x14ac:dyDescent="0.2">
      <c r="A83" s="21"/>
      <c r="B83" s="21"/>
      <c r="C83" s="7"/>
    </row>
    <row r="84" spans="1:5" x14ac:dyDescent="0.2">
      <c r="A84" s="21"/>
      <c r="B84" s="21"/>
      <c r="C84" s="7"/>
    </row>
    <row r="85" spans="1:5" x14ac:dyDescent="0.2">
      <c r="A85" s="21"/>
      <c r="B85" s="21"/>
      <c r="C85" s="7"/>
    </row>
    <row r="86" spans="1:5" x14ac:dyDescent="0.2">
      <c r="A86" s="21"/>
      <c r="B86" s="21"/>
      <c r="C86" s="7"/>
    </row>
    <row r="87" spans="1:5" x14ac:dyDescent="0.2">
      <c r="A87" s="21"/>
      <c r="B87" s="21"/>
      <c r="C87" s="7"/>
    </row>
    <row r="88" spans="1:5" x14ac:dyDescent="0.2">
      <c r="A88" s="21"/>
      <c r="B88" s="21"/>
      <c r="C88" s="7"/>
    </row>
    <row r="89" spans="1:5" x14ac:dyDescent="0.2">
      <c r="A89" s="21"/>
      <c r="B89" s="21"/>
      <c r="C89" s="7"/>
      <c r="E89" s="7"/>
    </row>
    <row r="90" spans="1:5" x14ac:dyDescent="0.2">
      <c r="A90" s="21"/>
      <c r="B90" s="21"/>
      <c r="C90" s="7"/>
    </row>
    <row r="91" spans="1:5" x14ac:dyDescent="0.2">
      <c r="A91" s="21"/>
      <c r="B91" s="21"/>
      <c r="C91" s="7"/>
    </row>
    <row r="92" spans="1:5" x14ac:dyDescent="0.2">
      <c r="A92" s="21"/>
      <c r="B92" s="21"/>
      <c r="C92" s="7"/>
    </row>
    <row r="93" spans="1:5" x14ac:dyDescent="0.2">
      <c r="A93" s="21"/>
      <c r="B93" s="21"/>
      <c r="C93" s="7"/>
    </row>
    <row r="94" spans="1:5" x14ac:dyDescent="0.2">
      <c r="A94" s="21"/>
      <c r="B94" s="21"/>
      <c r="C94" s="7"/>
    </row>
    <row r="95" spans="1:5" x14ac:dyDescent="0.2">
      <c r="A95" s="21"/>
      <c r="B95" s="21"/>
      <c r="C95" s="7"/>
    </row>
    <row r="96" spans="1:5" x14ac:dyDescent="0.2">
      <c r="A96" s="21"/>
      <c r="B96" s="21"/>
      <c r="C96" s="7"/>
    </row>
    <row r="97" spans="1:5" x14ac:dyDescent="0.2">
      <c r="A97" s="21"/>
      <c r="B97" s="21"/>
      <c r="C97" s="7"/>
    </row>
    <row r="98" spans="1:5" x14ac:dyDescent="0.2">
      <c r="A98" s="21"/>
      <c r="B98" s="21"/>
      <c r="C98" s="7"/>
    </row>
    <row r="99" spans="1:5" x14ac:dyDescent="0.2">
      <c r="A99" s="21"/>
      <c r="B99" s="21"/>
      <c r="C99" s="7"/>
    </row>
    <row r="100" spans="1:5" x14ac:dyDescent="0.2">
      <c r="A100" s="21"/>
      <c r="B100" s="21"/>
      <c r="C100" s="7"/>
    </row>
    <row r="101" spans="1:5" x14ac:dyDescent="0.2">
      <c r="A101" s="21"/>
      <c r="B101" s="21"/>
      <c r="C101" s="7"/>
    </row>
    <row r="102" spans="1:5" x14ac:dyDescent="0.2">
      <c r="A102" s="21"/>
      <c r="B102" s="21"/>
      <c r="C102" s="7"/>
    </row>
    <row r="103" spans="1:5" x14ac:dyDescent="0.2">
      <c r="A103" s="21"/>
      <c r="B103" s="21"/>
      <c r="C103" s="7"/>
    </row>
    <row r="104" spans="1:5" x14ac:dyDescent="0.2">
      <c r="A104" s="21"/>
      <c r="B104" s="21"/>
      <c r="C104" s="7"/>
    </row>
    <row r="105" spans="1:5" x14ac:dyDescent="0.2">
      <c r="A105" s="21"/>
      <c r="B105" s="21"/>
      <c r="C105" s="7"/>
    </row>
    <row r="106" spans="1:5" x14ac:dyDescent="0.2">
      <c r="A106" s="21"/>
      <c r="B106" s="21"/>
      <c r="C106" s="7"/>
    </row>
    <row r="107" spans="1:5" x14ac:dyDescent="0.2">
      <c r="A107" s="21"/>
      <c r="B107" s="21"/>
      <c r="C107" s="7"/>
    </row>
    <row r="108" spans="1:5" x14ac:dyDescent="0.2">
      <c r="A108" s="21"/>
      <c r="B108" s="21"/>
      <c r="C108" s="7"/>
    </row>
    <row r="109" spans="1:5" x14ac:dyDescent="0.2">
      <c r="A109" s="21"/>
      <c r="B109" s="21"/>
      <c r="C109" s="7"/>
    </row>
    <row r="110" spans="1:5" x14ac:dyDescent="0.2">
      <c r="A110" s="21"/>
      <c r="B110" s="21"/>
      <c r="C110" s="7"/>
    </row>
    <row r="111" spans="1:5" x14ac:dyDescent="0.2">
      <c r="A111" s="21"/>
      <c r="B111" s="21"/>
      <c r="C111" s="7"/>
    </row>
    <row r="112" spans="1:5" x14ac:dyDescent="0.2">
      <c r="A112" s="21"/>
      <c r="B112" s="21"/>
      <c r="C112" s="7"/>
      <c r="E112" s="7"/>
    </row>
    <row r="113" spans="1:5" x14ac:dyDescent="0.2">
      <c r="A113" s="21"/>
      <c r="B113" s="21"/>
      <c r="C113" s="7"/>
      <c r="E113" s="7"/>
    </row>
    <row r="114" spans="1:5" x14ac:dyDescent="0.2">
      <c r="A114" s="21"/>
      <c r="B114" s="21"/>
      <c r="C114" s="7"/>
      <c r="E114" s="7"/>
    </row>
    <row r="115" spans="1:5" x14ac:dyDescent="0.2">
      <c r="A115" s="21"/>
      <c r="B115" s="21"/>
      <c r="C115" s="7"/>
      <c r="E115" s="7"/>
    </row>
    <row r="116" spans="1:5" x14ac:dyDescent="0.2">
      <c r="A116" s="21"/>
      <c r="B116" s="21"/>
      <c r="C116" s="7"/>
      <c r="E116" s="7"/>
    </row>
    <row r="117" spans="1:5" x14ac:dyDescent="0.2">
      <c r="A117" s="21"/>
      <c r="B117" s="21"/>
      <c r="C117" s="7"/>
      <c r="E117" s="7"/>
    </row>
    <row r="118" spans="1:5" x14ac:dyDescent="0.2">
      <c r="A118" s="21"/>
      <c r="B118" s="21"/>
      <c r="C118" s="7"/>
      <c r="E118" s="7"/>
    </row>
    <row r="119" spans="1:5" x14ac:dyDescent="0.2">
      <c r="A119" s="21"/>
      <c r="B119" s="21"/>
      <c r="C119" s="7"/>
    </row>
    <row r="120" spans="1:5" x14ac:dyDescent="0.2">
      <c r="A120" s="21"/>
      <c r="B120" s="21"/>
      <c r="C120" s="7"/>
    </row>
    <row r="121" spans="1:5" x14ac:dyDescent="0.2">
      <c r="A121" s="21"/>
      <c r="B121" s="21"/>
      <c r="C121" s="7"/>
    </row>
    <row r="122" spans="1:5" x14ac:dyDescent="0.2">
      <c r="A122" s="21"/>
      <c r="B122" s="21"/>
      <c r="C122" s="7"/>
    </row>
    <row r="123" spans="1:5" x14ac:dyDescent="0.2">
      <c r="A123" s="21"/>
      <c r="B123" s="21"/>
      <c r="C123" s="7"/>
    </row>
    <row r="124" spans="1:5" x14ac:dyDescent="0.2">
      <c r="A124" s="21"/>
      <c r="B124" s="21"/>
      <c r="C124" s="7"/>
    </row>
    <row r="125" spans="1:5" x14ac:dyDescent="0.2">
      <c r="A125" s="21"/>
      <c r="B125" s="21"/>
      <c r="C125" s="7"/>
    </row>
    <row r="126" spans="1:5" x14ac:dyDescent="0.2">
      <c r="A126" s="21"/>
      <c r="B126" s="21"/>
      <c r="C126" s="7"/>
    </row>
  </sheetData>
  <phoneticPr fontId="1" type="noConversion"/>
  <dataValidations count="2">
    <dataValidation showInputMessage="1" showErrorMessage="1" sqref="A1:A2 H1:M1 T2" xr:uid="{00000000-0002-0000-0100-000000000000}"/>
    <dataValidation type="list" showInputMessage="1" showErrorMessage="1" sqref="A3:A65418" xr:uid="{00000000-0002-0000-0100-000002000000}">
      <formula1>ExecuteValues</formula1>
    </dataValidation>
  </dataValidations>
  <pageMargins left="0.75" right="0.75" top="1" bottom="1" header="0.5" footer="0.5"/>
  <pageSetup orientation="portrait" horizontalDpi="96" verticalDpi="96" r:id="rId1"/>
  <headerFooter alignWithMargins="0"/>
  <drawing r:id="rId2"/>
  <legacyDrawing r:id="rId3"/>
  <controls>
    <mc:AlternateContent xmlns:mc="http://schemas.openxmlformats.org/markup-compatibility/2006">
      <mc:Choice Requires="x14">
        <control shapeId="20481" r:id="rId4" name="btnSubmit">
          <controlPr defaultSize="0" autoLine="0" r:id="rId5">
            <anchor moveWithCells="1">
              <from>
                <xdr:col>0</xdr:col>
                <xdr:colOff>38100</xdr:colOff>
                <xdr:row>0</xdr:row>
                <xdr:rowOff>352425</xdr:rowOff>
              </from>
              <to>
                <xdr:col>0</xdr:col>
                <xdr:colOff>695325</xdr:colOff>
                <xdr:row>0</xdr:row>
                <xdr:rowOff>790575</xdr:rowOff>
              </to>
            </anchor>
          </controlPr>
        </control>
      </mc:Choice>
      <mc:Fallback>
        <control shapeId="20481" r:id="rId4" name="btnSubmit"/>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07BBDA3B949BCB40A19942E430B56C2F" ma:contentTypeVersion="0" ma:contentTypeDescription="Create a new document." ma:contentTypeScope="" ma:versionID="888a3cec5c7eb58d0017948ee1501b96">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F683363-883F-42AA-96F6-586721A3368C}">
  <ds:schemaRefs>
    <ds:schemaRef ds:uri="http://purl.org/dc/elements/1.1/"/>
    <ds:schemaRef ds:uri="http://schemas.microsoft.com/office/2006/metadata/properties"/>
    <ds:schemaRef ds:uri="http://purl.org/dc/terms/"/>
    <ds:schemaRef ds:uri="http://schemas.microsoft.com/office/2006/documentManagement/types"/>
    <ds:schemaRef ds:uri="http://purl.org/dc/dcmitype/"/>
    <ds:schemaRef ds:uri="http://schemas.microsoft.com/office/infopath/2007/PartnerControls"/>
    <ds:schemaRef ds:uri="http://schemas.openxmlformats.org/package/2006/metadata/core-properties"/>
    <ds:schemaRef ds:uri="http://www.w3.org/XML/1998/namespace"/>
  </ds:schemaRefs>
</ds:datastoreItem>
</file>

<file path=customXml/itemProps2.xml><?xml version="1.0" encoding="utf-8"?>
<ds:datastoreItem xmlns:ds="http://schemas.openxmlformats.org/officeDocument/2006/customXml" ds:itemID="{34713A88-B437-4CBF-9C6D-7BD88AF0EF97}">
  <ds:schemaRefs>
    <ds:schemaRef ds:uri="http://schemas.microsoft.com/sharepoint/v3/contenttype/forms"/>
  </ds:schemaRefs>
</ds:datastoreItem>
</file>

<file path=customXml/itemProps3.xml><?xml version="1.0" encoding="utf-8"?>
<ds:datastoreItem xmlns:ds="http://schemas.openxmlformats.org/officeDocument/2006/customXml" ds:itemID="{2FD71E3E-BF5F-4613-9B77-0347F94352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vt:i4>
      </vt:variant>
    </vt:vector>
  </HeadingPairs>
  <TitlesOfParts>
    <vt:vector size="6" baseType="lpstr">
      <vt:lpstr>Connect</vt:lpstr>
      <vt:lpstr>SummaryTableDef</vt:lpstr>
      <vt:lpstr>BooleanValues</vt:lpstr>
      <vt:lpstr>DataTypeValues</vt:lpstr>
      <vt:lpstr>ExecuteValues</vt:lpstr>
      <vt:lpstr>QueryTypeValues</vt:lpstr>
    </vt:vector>
  </TitlesOfParts>
  <Company>Kenneth Choo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Kenneth Choo</dc:creator>
  <cp:lastModifiedBy>Administrator</cp:lastModifiedBy>
  <dcterms:created xsi:type="dcterms:W3CDTF">2005-04-26T03:34:49Z</dcterms:created>
  <dcterms:modified xsi:type="dcterms:W3CDTF">2025-06-18T07:19:44Z</dcterms:modified>
</cp:coreProperties>
</file>